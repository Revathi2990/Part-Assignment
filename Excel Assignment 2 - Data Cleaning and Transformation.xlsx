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6a4335d21b36aae/Desktop/ASSIGNMENT/"/>
    </mc:Choice>
  </mc:AlternateContent>
  <xr:revisionPtr revIDLastSave="0" documentId="8_{4B36F27C-837A-4AC7-BE9B-CCC8100DE2B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 SETS" sheetId="1" r:id="rId1"/>
    <sheet name="ASSIGNMENT 2" sheetId="2" r:id="rId2"/>
    <sheet name="OBSERV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" i="2" l="1"/>
  <c r="G25" i="2"/>
  <c r="G26" i="2"/>
  <c r="G27" i="2"/>
  <c r="G28" i="2"/>
  <c r="G29" i="2"/>
  <c r="G30" i="2"/>
  <c r="G31" i="2"/>
  <c r="G32" i="2"/>
  <c r="G24" i="2"/>
  <c r="G22" i="2"/>
  <c r="G23" i="2"/>
  <c r="G14" i="2"/>
  <c r="G15" i="2"/>
  <c r="G16" i="2"/>
  <c r="G17" i="2"/>
  <c r="G18" i="2"/>
  <c r="G19" i="2"/>
  <c r="G20" i="2"/>
  <c r="G21" i="2"/>
  <c r="G3" i="2"/>
  <c r="G4" i="2"/>
  <c r="G5" i="2"/>
  <c r="G6" i="2"/>
  <c r="G7" i="2"/>
  <c r="G8" i="2"/>
  <c r="G9" i="2"/>
  <c r="G10" i="2"/>
  <c r="G11" i="2"/>
  <c r="G12" i="2"/>
  <c r="G13" i="2"/>
  <c r="G2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" i="2"/>
  <c r="N4" i="2"/>
  <c r="N2" i="2"/>
  <c r="M35" i="2"/>
  <c r="M33" i="2"/>
  <c r="M34" i="2"/>
  <c r="M32" i="2"/>
  <c r="M25" i="2"/>
  <c r="M26" i="2"/>
  <c r="M27" i="2"/>
  <c r="M28" i="2"/>
  <c r="M29" i="2"/>
  <c r="M30" i="2"/>
  <c r="M31" i="2"/>
  <c r="M16" i="2"/>
  <c r="M17" i="2"/>
  <c r="M18" i="2"/>
  <c r="M19" i="2"/>
  <c r="M20" i="2"/>
  <c r="M21" i="2"/>
  <c r="M22" i="2"/>
  <c r="M23" i="2"/>
  <c r="M24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2" i="2"/>
  <c r="L2" i="2"/>
  <c r="L34" i="2"/>
  <c r="L35" i="2"/>
  <c r="L26" i="2"/>
  <c r="L27" i="2"/>
  <c r="L28" i="2"/>
  <c r="L29" i="2"/>
  <c r="L30" i="2"/>
  <c r="L31" i="2"/>
  <c r="L32" i="2"/>
  <c r="L33" i="2"/>
  <c r="L19" i="2"/>
  <c r="L20" i="2"/>
  <c r="L21" i="2"/>
  <c r="L22" i="2"/>
  <c r="L23" i="2"/>
  <c r="L24" i="2"/>
  <c r="L2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I37" i="2"/>
  <c r="E37" i="2"/>
</calcChain>
</file>

<file path=xl/sharedStrings.xml><?xml version="1.0" encoding="utf-8"?>
<sst xmlns="http://schemas.openxmlformats.org/spreadsheetml/2006/main" count="417" uniqueCount="160">
  <si>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</si>
  <si>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</si>
  <si>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</si>
  <si>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</si>
  <si>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</si>
  <si>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</si>
  <si>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</si>
  <si>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</si>
  <si>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</si>
  <si>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</si>
  <si>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</si>
  <si>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</si>
  <si>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</si>
  <si>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</si>
  <si>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</si>
  <si>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</si>
  <si>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</si>
  <si>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</si>
  <si>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</si>
  <si>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</si>
  <si>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</si>
  <si>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</si>
  <si>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</si>
  <si>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</si>
  <si>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</si>
  <si>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</si>
  <si>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</si>
  <si>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</si>
  <si>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</si>
  <si>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</si>
  <si>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</si>
  <si>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</si>
  <si>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</si>
  <si>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</si>
  <si>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</si>
  <si>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</si>
  <si>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</si>
  <si>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</si>
  <si>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</si>
  <si>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</si>
  <si>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</si>
  <si>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</si>
  <si>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</si>
  <si>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</si>
  <si>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</si>
  <si>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</si>
  <si>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</si>
  <si>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</si>
  <si>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</si>
  <si>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</si>
  <si>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</si>
  <si>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</si>
  <si>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</si>
  <si>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</si>
  <si>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</si>
  <si>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</si>
  <si>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</si>
  <si>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</si>
  <si>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</si>
  <si>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</si>
  <si>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</si>
  <si>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</si>
  <si>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</si>
  <si>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</si>
  <si>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</si>
  <si>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</si>
  <si>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</si>
  <si>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</si>
  <si>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</si>
  <si>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</si>
  <si>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</si>
  <si>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</si>
  <si>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</si>
  <si>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</si>
  <si>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</si>
  <si>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</si>
  <si>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</si>
  <si>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</si>
  <si>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</si>
  <si>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</si>
  <si>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</si>
  <si>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</si>
  <si>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</si>
  <si>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</si>
  <si>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</si>
  <si>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</si>
  <si>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</si>
  <si>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</si>
  <si>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</si>
  <si>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</si>
  <si>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</si>
  <si>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</si>
  <si>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</si>
  <si>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COUNTBLANK</t>
  </si>
  <si>
    <t>OBSERVATION</t>
  </si>
  <si>
    <t>ISBLANK() FUNCTION IS USED TO FIND HOW MANY BLANKS IS THERE IN A SPECIFIC ROW AND THE BLANK CELL WILL BE MAENTIONED AS TRUE THEN THE DATA CELL WILL BE MENTIOND AS FALSE.</t>
  </si>
  <si>
    <t>IMPUTATION IS THE PROCESS OF MISSING VALUES WITH DEFAULT VALUES .</t>
  </si>
  <si>
    <t>FOR NUMERICAL VALUES WE CAN IMPUTE THE MEAN OR MEDIAN.</t>
  </si>
  <si>
    <t>Price ISBLANK</t>
  </si>
  <si>
    <t>BRAND NAME IF  ISBLANK</t>
  </si>
  <si>
    <t>QUANTITY AVERAGE</t>
  </si>
  <si>
    <t>IN THIS DATASETS COUNTBLANK IS USED TO KNOW HOW MANY BLANKS IN THE CELLS.</t>
  </si>
  <si>
    <t xml:space="preserve">IN THE PRICE CATEGORY COLUMN  THE BLANK CELLS HAVE BEEN IDENTIFIED. </t>
  </si>
  <si>
    <t>ISBLANK FUNCTION IS USED IN THE PRICE COLUMN AND THE BLANK CELLS HAVE BEEN MENTIONED AS TRUE AND THE CALLS IN THE DATA AS FALSE.</t>
  </si>
  <si>
    <t>IN THE BRAND COLUMN IF IS BLANK FUNCTION IS USED TO TO KNOW THE BLANK CELLS AS UNKNOWN .</t>
  </si>
  <si>
    <t>IN THE QUANTITY COLUMN THE IF AVERAGE FUNCTION IS CALCULATE PERFECTLY WITH ALL DATAS.</t>
  </si>
  <si>
    <t>Smart Phone</t>
  </si>
  <si>
    <t>Back Pack</t>
  </si>
  <si>
    <t>Head Phones</t>
  </si>
  <si>
    <t>Sun Glasses</t>
  </si>
  <si>
    <t>Smart Watch</t>
  </si>
  <si>
    <t>IN THE FIND AND SELECT TAB CLICK THE REPLACE BUTTON AND TYPE THE DADTAS IN THE FIND TAB AND REPLACE THE CORRECT VALUES IN THE REPLACE TAB.</t>
  </si>
  <si>
    <t>FINALLY CLICK REPLACE ALL,THEN THE DATAS YOU WANT REPLACE WILL BE REPLACED IN THE DATABASE.</t>
  </si>
  <si>
    <t>USING FIND AND REPLACE IN THE PRODUCT COLOUMN THE ELECTRONICS AND ACCESSORIES SPELLING HAVE BEEN CORRECTED.</t>
  </si>
  <si>
    <t>T-Shirt</t>
  </si>
  <si>
    <t>THEN SELECT THE BUTTON NAME,PRODUCT NAME AND CLICK OK.</t>
  </si>
  <si>
    <t>PRODUCT BRAND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</si>
  <si>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</si>
  <si>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</si>
  <si>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</si>
  <si>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</si>
  <si>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</si>
  <si>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</si>
  <si>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</si>
  <si>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</si>
  <si>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</si>
  <si>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</si>
  <si>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</si>
  <si>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</si>
  <si>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</si>
  <si>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</si>
  <si>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</si>
  <si>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</si>
  <si>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</si>
  <si>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</si>
  <si>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</si>
  <si>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</si>
  <si>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</si>
  <si>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</si>
  <si>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</si>
  <si>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</si>
  <si>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</si>
  <si>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MANUFACTURING DATE</t>
  </si>
  <si>
    <t xml:space="preserve">SELECT THE COLUMN THAT WANT TO FIND OUT THE DUPLICATES AND GO TO DATA TAB AND CLICK REMOVE DUPICATE DATA BUTTON. </t>
  </si>
  <si>
    <t>COUNTBLANK() FUNCTIONS IS USED TO FIND OUT HOW MANY BLANKS ARE THERE IN PARTICULAR ROWS AND COLUMNS.</t>
  </si>
  <si>
    <t>TO SPLIT THE PRODUCT ID GO TO DATA TAB AND CLICK TEXT TO COLUMNS AND DELIMINATE DATAS THEN SELECT COMMA OR SEMICOLON THEN CLICK FINISH.</t>
  </si>
  <si>
    <t>NOW THE COLUMN IS SEPARATED INTO TWO SEPARATE COLUMNS FOR MANUFACTURING DATE AND COUNTRY CODE.</t>
  </si>
  <si>
    <t>TO MERGE THE CELLS USE THE COCTENATE () FUNCTIONS TO MERGE BRAND NAME AND PRODUCT NAME INTO ONE COLUMN NAMED PRODUCT NAME.</t>
  </si>
  <si>
    <t>Price ($)Currency Format</t>
  </si>
  <si>
    <t>DUPLICATE CELLS HAVE BEEN REMOVED</t>
  </si>
  <si>
    <t>USING NUMBER FORMATTING PRICE COLUMN HAS BEEN CHANGED AS CURRENCY.</t>
  </si>
  <si>
    <t>SELECT THE COLUMN (PRICE)AND GO TO DATA TAB AND CLICK NUMBER TAB CHANGE THE OPTIONS CURRENCY AND CLICK OK.</t>
  </si>
  <si>
    <t>MANUFACTURING DATE COLUMN HAS BEEN DISPLAYED AS DD-MM-YY.</t>
  </si>
  <si>
    <t>SELECT THE MANUFACTURING DATE AND GO TO HOME TAB CLICK NUMBER OPTIONS AND SELECT THE CATEGORIES AND CLICK OK.</t>
  </si>
  <si>
    <t>CONDITIONAL FORMATTING</t>
  </si>
  <si>
    <t>IN THE PRICE COLUMN THE COLOR SCALES HAVE BEEN APPLIED.</t>
  </si>
  <si>
    <t>G0 TO HOME TAB ,CLICK CONDITIONAL FORMATTING AND SELECT COLOR SCALES CLICK OK.</t>
  </si>
  <si>
    <t>SELECT THE CATEGRY COLUMN.IN THE CATEGORY COLUMN THE ELECTRONICS CELLS HAVE BEEN HIGHLIGHTED.</t>
  </si>
  <si>
    <t>GO TO CONDTIONAL FORMATTING ,CLICK HIGHLIGHT THE CELLS  AND TEXT CELL THAT WILL APPEAR THEN TYPE "ELECRONICS" CLICK OK.</t>
  </si>
  <si>
    <t>NOW THE ELECTRONICS WILL BE HIGHLIGHTED WITH SPECIFIED COLORS.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</si>
</sst>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;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rgb="FF4DD0E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E0F7FA"/>
      </patternFill>
    </fill>
    <fill>
      <patternFill patternType="solid">
        <fgColor theme="7" tint="0.59999389629810485"/>
        <bgColor rgb="FFE0F7FA"/>
      </patternFill>
    </fill>
    <fill>
      <patternFill patternType="solid">
        <fgColor rgb="FFFFC000"/>
        <bgColor rgb="FF4DD0E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  <fill>
      <patternFill patternType="solid">
        <fgColor rgb="FFFFFF00"/>
        <bgColor rgb="FF4DD0E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1" fillId="0" borderId="0" xfId="1" applyFont="1" applyAlignment="1"/>
    <xf numFmtId="0" fontId="2" fillId="2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/>
    <xf numFmtId="0" fontId="3" fillId="3" borderId="0" xfId="1" applyFont="1" applyFill="1"/>
    <xf numFmtId="0" fontId="3" fillId="4" borderId="0" xfId="1" applyFont="1" applyFill="1" applyAlignment="1"/>
    <xf numFmtId="0" fontId="1" fillId="0" borderId="0" xfId="1" applyFont="1" applyAlignment="1"/>
    <xf numFmtId="0" fontId="3" fillId="0" borderId="0" xfId="1" applyFont="1"/>
    <xf numFmtId="0" fontId="3" fillId="0" borderId="1" xfId="1" applyFont="1" applyBorder="1"/>
    <xf numFmtId="0" fontId="3" fillId="0" borderId="1" xfId="1" applyFont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2" xfId="1" applyFont="1" applyBorder="1" applyAlignment="1">
      <alignment horizontal="left"/>
    </xf>
    <xf numFmtId="0" fontId="3" fillId="3" borderId="2" xfId="1" applyFont="1" applyFill="1" applyBorder="1" applyAlignment="1">
      <alignment horizontal="left"/>
    </xf>
    <xf numFmtId="0" fontId="3" fillId="0" borderId="3" xfId="1" applyFont="1" applyBorder="1"/>
    <xf numFmtId="0" fontId="3" fillId="7" borderId="3" xfId="1" applyFont="1" applyFill="1" applyBorder="1"/>
    <xf numFmtId="0" fontId="2" fillId="2" borderId="1" xfId="1" applyFont="1" applyFill="1" applyBorder="1" applyAlignment="1">
      <alignment horizontal="center"/>
    </xf>
    <xf numFmtId="0" fontId="3" fillId="3" borderId="1" xfId="1" applyFont="1" applyFill="1" applyBorder="1"/>
    <xf numFmtId="0" fontId="1" fillId="0" borderId="1" xfId="1" applyFont="1" applyBorder="1" applyAlignment="1"/>
    <xf numFmtId="0" fontId="1" fillId="0" borderId="0" xfId="1" applyFont="1" applyAlignment="1">
      <alignment horizontal="center"/>
    </xf>
    <xf numFmtId="0" fontId="4" fillId="5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3" fillId="9" borderId="1" xfId="1" applyFont="1" applyFill="1" applyBorder="1"/>
    <xf numFmtId="0" fontId="3" fillId="10" borderId="1" xfId="1" applyFont="1" applyFill="1" applyBorder="1"/>
    <xf numFmtId="0" fontId="3" fillId="11" borderId="1" xfId="1" applyFont="1" applyFill="1" applyBorder="1"/>
    <xf numFmtId="0" fontId="5" fillId="0" borderId="0" xfId="0" applyFont="1"/>
    <xf numFmtId="0" fontId="2" fillId="2" borderId="2" xfId="1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2" fillId="12" borderId="1" xfId="1" applyFont="1" applyFill="1" applyBorder="1" applyAlignment="1">
      <alignment horizontal="center"/>
    </xf>
    <xf numFmtId="0" fontId="2" fillId="6" borderId="3" xfId="1" applyFont="1" applyFill="1" applyBorder="1" applyAlignment="1">
      <alignment horizontal="center"/>
    </xf>
    <xf numFmtId="0" fontId="2" fillId="8" borderId="1" xfId="1" applyFont="1" applyFill="1" applyBorder="1" applyAlignment="1">
      <alignment horizontal="center" vertical="top"/>
    </xf>
    <xf numFmtId="164" fontId="2" fillId="2" borderId="1" xfId="1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left"/>
    </xf>
    <xf numFmtId="164" fontId="3" fillId="3" borderId="1" xfId="1" applyNumberFormat="1" applyFont="1" applyFill="1" applyBorder="1" applyAlignment="1">
      <alignment horizontal="left"/>
    </xf>
    <xf numFmtId="164" fontId="1" fillId="0" borderId="0" xfId="1" applyNumberFormat="1" applyFont="1" applyAlignment="1"/>
    <xf numFmtId="164" fontId="0" fillId="0" borderId="0" xfId="0" applyNumberFormat="1"/>
    <xf numFmtId="0" fontId="2" fillId="2" borderId="3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165" fontId="3" fillId="3" borderId="1" xfId="1" applyNumberFormat="1" applyFont="1" applyFill="1" applyBorder="1" applyAlignment="1">
      <alignment horizontal="center"/>
    </xf>
    <xf numFmtId="14" fontId="1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1" xfId="1" applyFont="1" applyFill="1" applyBorder="1" applyAlignment="1">
      <alignment horizontal="left"/>
    </xf>
    <xf numFmtId="0" fontId="3" fillId="13" borderId="1" xfId="1" applyFont="1" applyFill="1" applyBorder="1"/>
    <xf numFmtId="0" fontId="3" fillId="14" borderId="1" xfId="1" applyFont="1" applyFill="1" applyBorder="1"/>
    <xf numFmtId="0" fontId="1" fillId="13" borderId="0" xfId="1" applyFont="1" applyFill="1" applyAlignment="1"/>
    <xf numFmtId="0" fontId="0" fillId="13" borderId="0" xfId="0" applyFill="1"/>
    <xf numFmtId="0" fontId="2" fillId="15" borderId="1" xfId="1" applyFont="1" applyFill="1" applyBorder="1" applyAlignment="1">
      <alignment horizontal="center"/>
    </xf>
    <xf numFmtId="0" fontId="6" fillId="0" borderId="0" xfId="0" applyFont="1"/>
  </cellXfs>
  <cellStyles count="2">
    <cellStyle name="Normal" xfId="0" builtinId="0"/>
    <cellStyle name="Normal 2" xfId="1" xr:uid="{24D77107-888C-4726-869E-FD5AFDA0C0BE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A2" sqref="A2"/>
    </sheetView>
  </sheetViews>
  <sheetFormatPr defaultRowHeight="14.5" x14ac:dyDescent="0.35"/>
  <cols>
    <col min="1" max="1" width="14.54296875" customWidth="1"/>
    <col min="2" max="2" width="12.6328125" customWidth="1"/>
    <col min="3" max="3" width="15.26953125" customWidth="1"/>
    <col min="6" max="6" width="13.26953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 x14ac:dyDescent="0.35">
      <c r="A2" s="4" t="s">
        <v>6</v>
      </c>
      <c r="B2" s="4" t="s">
        <v>7</v>
      </c>
      <c r="C2" s="4" t="s">
        <v>8</v>
      </c>
      <c r="D2" s="4">
        <v>1000</v>
      </c>
      <c r="E2" s="4">
        <v>30</v>
      </c>
      <c r="F2" s="4" t="s">
        <v>9</v>
      </c>
      <c r="G2" s="4"/>
    </row>
    <row r="3" spans="1:7" x14ac:dyDescent="0.35">
      <c r="A3" s="5" t="s">
        <v>10</v>
      </c>
      <c r="B3" s="5" t="s">
        <v>11</v>
      </c>
      <c r="C3" s="5" t="s">
        <v>12</v>
      </c>
      <c r="D3" s="5">
        <v>80</v>
      </c>
      <c r="E3" s="5">
        <v>15</v>
      </c>
      <c r="F3" s="5" t="s">
        <v>13</v>
      </c>
      <c r="G3" s="4"/>
    </row>
    <row r="4" spans="1:7" x14ac:dyDescent="0.35">
      <c r="A4" s="4" t="s">
        <v>14</v>
      </c>
      <c r="B4" s="4" t="s">
        <v>15</v>
      </c>
      <c r="C4" s="4" t="s">
        <v>16</v>
      </c>
      <c r="D4" s="4">
        <v>130</v>
      </c>
      <c r="E4" s="4">
        <v>40</v>
      </c>
      <c r="F4" s="4" t="s">
        <v>17</v>
      </c>
      <c r="G4" s="4"/>
    </row>
    <row r="5" spans="1:7" x14ac:dyDescent="0.35">
      <c r="A5" s="5" t="s">
        <v>18</v>
      </c>
      <c r="B5" s="5" t="s">
        <v>19</v>
      </c>
      <c r="C5" s="5" t="s">
        <v>20</v>
      </c>
      <c r="D5" s="5">
        <v>900</v>
      </c>
      <c r="E5" s="5">
        <v>25</v>
      </c>
      <c r="F5" s="5" t="s">
        <v>9</v>
      </c>
      <c r="G5" s="4"/>
    </row>
    <row r="6" spans="1:7" x14ac:dyDescent="0.35">
      <c r="A6" s="4" t="s">
        <v>21</v>
      </c>
      <c r="B6" s="4" t="s">
        <v>22</v>
      </c>
      <c r="C6" s="4" t="s">
        <v>23</v>
      </c>
      <c r="D6" s="4">
        <v>70</v>
      </c>
      <c r="E6" s="4">
        <v>20</v>
      </c>
      <c r="F6" s="4" t="s">
        <v>24</v>
      </c>
      <c r="G6" s="4"/>
    </row>
    <row r="7" spans="1:7" x14ac:dyDescent="0.35">
      <c r="A7" s="5" t="s">
        <v>25</v>
      </c>
      <c r="B7" s="5" t="s">
        <v>26</v>
      </c>
      <c r="C7" s="5" t="s">
        <v>27</v>
      </c>
      <c r="D7" s="5">
        <v>200</v>
      </c>
      <c r="E7" s="5">
        <v>45</v>
      </c>
      <c r="F7" s="5" t="s">
        <v>9</v>
      </c>
      <c r="G7" s="4"/>
    </row>
    <row r="8" spans="1:7" x14ac:dyDescent="0.35">
      <c r="A8" s="4" t="s">
        <v>28</v>
      </c>
      <c r="B8" s="4" t="s">
        <v>29</v>
      </c>
      <c r="C8" s="4" t="s">
        <v>30</v>
      </c>
      <c r="D8" s="4">
        <v>30</v>
      </c>
      <c r="E8" s="4">
        <v>5</v>
      </c>
      <c r="F8" s="4" t="s">
        <v>13</v>
      </c>
      <c r="G8" s="4"/>
    </row>
    <row r="9" spans="1:7" x14ac:dyDescent="0.35">
      <c r="A9" s="5" t="s">
        <v>31</v>
      </c>
      <c r="B9" s="5" t="s">
        <v>32</v>
      </c>
      <c r="C9" s="5" t="s">
        <v>33</v>
      </c>
      <c r="D9" s="5">
        <v>90</v>
      </c>
      <c r="E9" s="5">
        <v>35</v>
      </c>
      <c r="F9" s="5" t="s">
        <v>17</v>
      </c>
      <c r="G9" s="4"/>
    </row>
    <row r="10" spans="1:7" x14ac:dyDescent="0.35">
      <c r="A10" s="4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4" t="s">
        <v>9</v>
      </c>
      <c r="G10" s="4"/>
    </row>
    <row r="11" spans="1:7" x14ac:dyDescent="0.35">
      <c r="A11" s="5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5" t="s">
        <v>24</v>
      </c>
      <c r="G11" s="4"/>
    </row>
    <row r="12" spans="1:7" x14ac:dyDescent="0.35">
      <c r="A12" s="4" t="s">
        <v>40</v>
      </c>
      <c r="B12" s="4" t="s">
        <v>7</v>
      </c>
      <c r="C12" s="4" t="s">
        <v>41</v>
      </c>
      <c r="D12" s="4">
        <v>950</v>
      </c>
      <c r="E12" s="4">
        <v>25</v>
      </c>
      <c r="F12" s="4" t="s">
        <v>9</v>
      </c>
      <c r="G12" s="4"/>
    </row>
    <row r="13" spans="1:7" x14ac:dyDescent="0.35">
      <c r="A13" s="5" t="s">
        <v>42</v>
      </c>
      <c r="B13" s="5" t="s">
        <v>11</v>
      </c>
      <c r="C13" s="5" t="s">
        <v>30</v>
      </c>
      <c r="D13" s="5">
        <v>90</v>
      </c>
      <c r="E13" s="5">
        <v>40</v>
      </c>
      <c r="F13" s="5" t="s">
        <v>13</v>
      </c>
      <c r="G13" s="4"/>
    </row>
    <row r="14" spans="1:7" x14ac:dyDescent="0.35">
      <c r="A14" s="4" t="s">
        <v>43</v>
      </c>
      <c r="B14" s="4" t="s">
        <v>15</v>
      </c>
      <c r="C14" s="4" t="s">
        <v>44</v>
      </c>
      <c r="D14" s="4">
        <v>120</v>
      </c>
      <c r="E14" s="4">
        <v>35</v>
      </c>
      <c r="F14" s="4" t="s">
        <v>17</v>
      </c>
      <c r="G14" s="4"/>
    </row>
    <row r="15" spans="1:7" x14ac:dyDescent="0.35">
      <c r="A15" s="5" t="s">
        <v>45</v>
      </c>
      <c r="B15" s="5" t="s">
        <v>46</v>
      </c>
      <c r="C15" s="5" t="s">
        <v>47</v>
      </c>
      <c r="D15" s="5">
        <v>150</v>
      </c>
      <c r="E15" s="5">
        <v>15</v>
      </c>
      <c r="F15" s="5" t="s">
        <v>9</v>
      </c>
      <c r="G15" s="4"/>
    </row>
    <row r="16" spans="1:7" x14ac:dyDescent="0.35">
      <c r="A16" s="4" t="s">
        <v>48</v>
      </c>
      <c r="B16" s="4" t="s">
        <v>26</v>
      </c>
      <c r="C16" s="4" t="s">
        <v>49</v>
      </c>
      <c r="D16" s="4">
        <v>250</v>
      </c>
      <c r="E16" s="4">
        <v>20</v>
      </c>
      <c r="F16" s="4" t="s">
        <v>9</v>
      </c>
      <c r="G16" s="4"/>
    </row>
    <row r="17" spans="1:7" x14ac:dyDescent="0.35">
      <c r="A17" s="5" t="s">
        <v>50</v>
      </c>
      <c r="B17" s="5" t="s">
        <v>51</v>
      </c>
      <c r="C17" s="5" t="s">
        <v>52</v>
      </c>
      <c r="D17" s="5">
        <v>50</v>
      </c>
      <c r="E17" s="5">
        <v>35</v>
      </c>
      <c r="F17" s="5" t="s">
        <v>53</v>
      </c>
      <c r="G17" s="4"/>
    </row>
    <row r="18" spans="1:7" x14ac:dyDescent="0.35">
      <c r="A18" s="4" t="s">
        <v>54</v>
      </c>
      <c r="B18" s="4" t="s">
        <v>46</v>
      </c>
      <c r="C18" s="4" t="s">
        <v>55</v>
      </c>
      <c r="D18" s="4">
        <v>160</v>
      </c>
      <c r="E18" s="4">
        <v>15</v>
      </c>
      <c r="F18" s="4" t="s">
        <v>9</v>
      </c>
      <c r="G18" s="4"/>
    </row>
    <row r="19" spans="1:7" x14ac:dyDescent="0.35">
      <c r="A19" s="5" t="s">
        <v>56</v>
      </c>
      <c r="B19" s="5" t="s">
        <v>7</v>
      </c>
      <c r="C19" s="5" t="s">
        <v>57</v>
      </c>
      <c r="D19" s="5">
        <v>980</v>
      </c>
      <c r="E19" s="5">
        <v>10</v>
      </c>
      <c r="F19" s="5" t="s">
        <v>9</v>
      </c>
      <c r="G19" s="4"/>
    </row>
    <row r="20" spans="1:7" x14ac:dyDescent="0.35">
      <c r="A20" s="4" t="s">
        <v>58</v>
      </c>
      <c r="B20" s="4" t="s">
        <v>59</v>
      </c>
      <c r="C20" s="4" t="s">
        <v>60</v>
      </c>
      <c r="D20" s="4">
        <v>150</v>
      </c>
      <c r="E20" s="4">
        <v>15</v>
      </c>
      <c r="F20" s="4" t="s">
        <v>13</v>
      </c>
      <c r="G20" s="4"/>
    </row>
    <row r="21" spans="1:7" x14ac:dyDescent="0.35">
      <c r="A21" s="5" t="s">
        <v>61</v>
      </c>
      <c r="B21" s="5" t="s">
        <v>62</v>
      </c>
      <c r="C21" s="5" t="s">
        <v>63</v>
      </c>
      <c r="D21" s="5">
        <v>200</v>
      </c>
      <c r="E21" s="5">
        <v>10</v>
      </c>
      <c r="F21" s="5" t="s">
        <v>24</v>
      </c>
      <c r="G21" s="4"/>
    </row>
    <row r="22" spans="1:7" x14ac:dyDescent="0.35">
      <c r="A22" s="4" t="s">
        <v>64</v>
      </c>
      <c r="B22" s="4" t="s">
        <v>65</v>
      </c>
      <c r="C22" s="4" t="s">
        <v>66</v>
      </c>
      <c r="D22" s="4">
        <v>700</v>
      </c>
      <c r="E22" s="4">
        <v>50</v>
      </c>
      <c r="F22" s="4" t="s">
        <v>9</v>
      </c>
      <c r="G22" s="4"/>
    </row>
    <row r="23" spans="1:7" x14ac:dyDescent="0.35">
      <c r="A23" s="5" t="s">
        <v>67</v>
      </c>
      <c r="B23" s="5" t="s">
        <v>68</v>
      </c>
      <c r="C23" s="5" t="s">
        <v>69</v>
      </c>
      <c r="D23" s="5">
        <v>80</v>
      </c>
      <c r="E23" s="5">
        <v>20</v>
      </c>
      <c r="F23" s="5" t="s">
        <v>17</v>
      </c>
      <c r="G23" s="4"/>
    </row>
    <row r="24" spans="1:7" x14ac:dyDescent="0.35">
      <c r="A24" s="4" t="s">
        <v>70</v>
      </c>
      <c r="B24" s="4" t="s">
        <v>71</v>
      </c>
      <c r="C24" s="4" t="s">
        <v>72</v>
      </c>
      <c r="D24" s="4">
        <v>150</v>
      </c>
      <c r="E24" s="4">
        <v>30</v>
      </c>
      <c r="F24" s="4" t="s">
        <v>9</v>
      </c>
      <c r="G24" s="4"/>
    </row>
    <row r="25" spans="1:7" x14ac:dyDescent="0.35">
      <c r="A25" s="5" t="s">
        <v>50</v>
      </c>
      <c r="B25" s="5" t="s">
        <v>51</v>
      </c>
      <c r="C25" s="5" t="s">
        <v>52</v>
      </c>
      <c r="D25" s="5">
        <v>50</v>
      </c>
      <c r="E25" s="5">
        <v>35</v>
      </c>
      <c r="F25" s="5" t="s">
        <v>53</v>
      </c>
      <c r="G25" s="6"/>
    </row>
    <row r="26" spans="1:7" x14ac:dyDescent="0.35">
      <c r="A26" s="4" t="s">
        <v>73</v>
      </c>
      <c r="B26" s="4" t="s">
        <v>19</v>
      </c>
      <c r="C26" s="4" t="s">
        <v>74</v>
      </c>
      <c r="D26" s="4">
        <v>800</v>
      </c>
      <c r="E26" s="4">
        <v>45</v>
      </c>
      <c r="F26" s="4" t="s">
        <v>9</v>
      </c>
      <c r="G26" s="4"/>
    </row>
    <row r="27" spans="1:7" x14ac:dyDescent="0.35">
      <c r="A27" s="5" t="s">
        <v>75</v>
      </c>
      <c r="B27" s="5" t="s">
        <v>59</v>
      </c>
      <c r="C27" s="5" t="s">
        <v>76</v>
      </c>
      <c r="D27" s="5">
        <v>130</v>
      </c>
      <c r="E27" s="5">
        <v>25</v>
      </c>
      <c r="F27" s="5" t="s">
        <v>13</v>
      </c>
      <c r="G27" s="4"/>
    </row>
    <row r="28" spans="1:7" x14ac:dyDescent="0.35">
      <c r="A28" s="4" t="s">
        <v>77</v>
      </c>
      <c r="B28" s="4" t="s">
        <v>32</v>
      </c>
      <c r="C28" s="4" t="s">
        <v>78</v>
      </c>
      <c r="D28" s="4">
        <v>400</v>
      </c>
      <c r="E28" s="4">
        <v>40</v>
      </c>
      <c r="F28" s="4" t="s">
        <v>17</v>
      </c>
      <c r="G28" s="4"/>
    </row>
    <row r="29" spans="1:7" x14ac:dyDescent="0.35">
      <c r="A29" s="5" t="s">
        <v>48</v>
      </c>
      <c r="B29" s="5" t="s">
        <v>26</v>
      </c>
      <c r="C29" s="5" t="s">
        <v>49</v>
      </c>
      <c r="D29" s="5">
        <v>230</v>
      </c>
      <c r="E29" s="5">
        <v>20</v>
      </c>
      <c r="F29" s="5" t="s">
        <v>9</v>
      </c>
      <c r="G29" s="6"/>
    </row>
    <row r="30" spans="1:7" x14ac:dyDescent="0.35">
      <c r="A30" s="4" t="s">
        <v>79</v>
      </c>
      <c r="B30" s="4" t="s">
        <v>80</v>
      </c>
      <c r="C30" s="4" t="s">
        <v>81</v>
      </c>
      <c r="D30" s="4">
        <v>60</v>
      </c>
      <c r="E30" s="4">
        <v>30</v>
      </c>
      <c r="F30" s="4" t="s">
        <v>13</v>
      </c>
      <c r="G30" s="4"/>
    </row>
    <row r="31" spans="1:7" x14ac:dyDescent="0.35">
      <c r="A31" s="5" t="s">
        <v>82</v>
      </c>
      <c r="B31" s="5" t="s">
        <v>83</v>
      </c>
      <c r="C31" s="5" t="s">
        <v>84</v>
      </c>
      <c r="D31" s="5">
        <v>40</v>
      </c>
      <c r="E31" s="5">
        <v>10</v>
      </c>
      <c r="F31" s="5" t="s">
        <v>17</v>
      </c>
      <c r="G31" s="4"/>
    </row>
    <row r="32" spans="1:7" x14ac:dyDescent="0.35">
      <c r="A32" s="4" t="s">
        <v>85</v>
      </c>
      <c r="B32" s="4" t="s">
        <v>71</v>
      </c>
      <c r="C32" s="4" t="s">
        <v>86</v>
      </c>
      <c r="D32" s="4">
        <v>130</v>
      </c>
      <c r="E32" s="4">
        <v>5</v>
      </c>
      <c r="F32" s="4" t="s">
        <v>9</v>
      </c>
      <c r="G32" s="4"/>
    </row>
    <row r="33" spans="1:7" x14ac:dyDescent="0.35">
      <c r="A33" s="5" t="s">
        <v>87</v>
      </c>
      <c r="B33" s="5" t="s">
        <v>88</v>
      </c>
      <c r="C33" s="5" t="s">
        <v>89</v>
      </c>
      <c r="D33" s="5">
        <v>50</v>
      </c>
      <c r="E33" s="5">
        <v>50</v>
      </c>
      <c r="F33" s="5" t="s">
        <v>13</v>
      </c>
      <c r="G33" s="4"/>
    </row>
    <row r="34" spans="1:7" x14ac:dyDescent="0.35">
      <c r="A34" s="4" t="s">
        <v>40</v>
      </c>
      <c r="B34" s="4" t="s">
        <v>7</v>
      </c>
      <c r="C34" s="4" t="s">
        <v>41</v>
      </c>
      <c r="D34" s="4">
        <v>950</v>
      </c>
      <c r="E34" s="4">
        <v>25</v>
      </c>
      <c r="F34" s="4" t="s">
        <v>9</v>
      </c>
      <c r="G34" s="4"/>
    </row>
    <row r="35" spans="1:7" x14ac:dyDescent="0.35">
      <c r="A35" s="5" t="s">
        <v>90</v>
      </c>
      <c r="B35" s="5" t="s">
        <v>91</v>
      </c>
      <c r="C35" s="5" t="s">
        <v>92</v>
      </c>
      <c r="D35" s="5">
        <v>100</v>
      </c>
      <c r="E35" s="5">
        <v>20</v>
      </c>
      <c r="F35" s="5" t="s">
        <v>53</v>
      </c>
      <c r="G35" s="4"/>
    </row>
    <row r="36" spans="1:7" x14ac:dyDescent="0.35">
      <c r="A36" s="1"/>
      <c r="B36" s="1"/>
      <c r="C36" s="1"/>
      <c r="D36" s="1"/>
      <c r="E36" s="1"/>
      <c r="F36" s="1"/>
      <c r="G36" s="1"/>
    </row>
    <row r="37" spans="1:7" x14ac:dyDescent="0.35">
      <c r="A37" s="1"/>
      <c r="B37" s="1"/>
      <c r="C37" s="1"/>
      <c r="D37" s="1"/>
      <c r="E37" s="1"/>
      <c r="F37" s="1"/>
      <c r="G37" s="1"/>
    </row>
    <row r="38" spans="1:7" x14ac:dyDescent="0.35">
      <c r="A38" s="1"/>
      <c r="B38" s="1"/>
      <c r="C38" s="1"/>
      <c r="D38" s="1"/>
      <c r="E38" s="1"/>
      <c r="F38" s="1"/>
      <c r="G38" s="1"/>
    </row>
    <row r="39" spans="1:7" x14ac:dyDescent="0.35">
      <c r="A39" s="1"/>
      <c r="B39" s="1"/>
      <c r="C39" s="1"/>
      <c r="D39" s="1"/>
      <c r="E39" s="1"/>
      <c r="F39" s="1"/>
      <c r="G39" s="1"/>
    </row>
    <row r="40" spans="1:7" x14ac:dyDescent="0.35">
      <c r="A40" s="1"/>
      <c r="B40" s="1"/>
      <c r="C40" s="1"/>
      <c r="D40" s="1"/>
      <c r="E40" s="1"/>
      <c r="F40" s="1"/>
      <c r="G40" s="1"/>
    </row>
    <row r="41" spans="1:7" x14ac:dyDescent="0.35">
      <c r="A41" s="1"/>
      <c r="B41" s="1"/>
      <c r="C41" s="1"/>
      <c r="D41" s="1"/>
      <c r="E41" s="1"/>
      <c r="F41" s="1"/>
      <c r="G41" s="1"/>
    </row>
    <row r="42" spans="1:7" x14ac:dyDescent="0.35">
      <c r="A42" s="1"/>
      <c r="B42" s="1"/>
      <c r="C42" s="1"/>
      <c r="D42" s="1"/>
      <c r="E42" s="1"/>
      <c r="F42" s="1"/>
      <c r="G42" s="1"/>
    </row>
    <row r="43" spans="1:7" x14ac:dyDescent="0.35">
      <c r="A43" s="1"/>
      <c r="B43" s="1"/>
      <c r="C43" s="1"/>
      <c r="D43" s="1"/>
      <c r="E43" s="1"/>
      <c r="F43" s="1"/>
      <c r="G43" s="1"/>
    </row>
    <row r="44" spans="1:7" x14ac:dyDescent="0.35">
      <c r="A44" s="1"/>
      <c r="B44" s="1"/>
      <c r="C44" s="1"/>
      <c r="D44" s="1"/>
      <c r="E44" s="1"/>
      <c r="F44" s="1"/>
      <c r="G44" s="1"/>
    </row>
    <row r="45" spans="1:7" x14ac:dyDescent="0.35">
      <c r="A45" s="1"/>
      <c r="B45" s="1"/>
      <c r="C45" s="1"/>
      <c r="D45" s="1"/>
      <c r="E45" s="1"/>
      <c r="F45" s="1"/>
      <c r="G45" s="1"/>
    </row>
    <row r="46" spans="1:7" x14ac:dyDescent="0.35">
      <c r="A46" s="1"/>
      <c r="B46" s="1"/>
      <c r="C46" s="1"/>
      <c r="D46" s="1"/>
      <c r="E46" s="1"/>
      <c r="F46" s="1"/>
      <c r="G46" s="1"/>
    </row>
    <row r="47" spans="1:7" x14ac:dyDescent="0.35">
      <c r="A47" s="1"/>
      <c r="B47" s="1"/>
      <c r="C47" s="1"/>
      <c r="D47" s="1"/>
      <c r="E47" s="1"/>
      <c r="F47" s="1"/>
      <c r="G47" s="1"/>
    </row>
    <row r="48" spans="1:7" x14ac:dyDescent="0.35">
      <c r="A48" s="1"/>
      <c r="B48" s="1"/>
      <c r="C48" s="1"/>
      <c r="D48" s="1"/>
      <c r="E48" s="1"/>
      <c r="F48" s="1"/>
      <c r="G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DBF0-401B-4222-97DC-75CBF3F18C9D}">
  <dimension ref="A1:P48"/>
  <sheetViews>
    <sheetView tabSelected="1" topLeftCell="C1" workbookViewId="0">
      <selection activeCell="C1" sqref="C1"/>
    </sheetView>
  </sheetViews>
  <sheetFormatPr defaultRowHeight="14.5" x14ac:dyDescent="0.35"/>
  <cols>
    <col min="1" max="1" width="14.54296875" style="49" customWidth="1"/>
    <col min="2" max="2" width="12.81640625" style="25" customWidth="1"/>
    <col min="3" max="4" width="18.6328125" style="25" customWidth="1"/>
    <col min="5" max="5" width="19" customWidth="1"/>
    <col min="6" max="6" width="15.26953125" customWidth="1"/>
    <col min="7" max="7" width="20.90625" customWidth="1"/>
    <col min="8" max="8" width="10.36328125" customWidth="1"/>
    <col min="9" max="9" width="10.36328125" style="40" customWidth="1"/>
    <col min="11" max="11" width="13.26953125" style="54" customWidth="1"/>
    <col min="12" max="12" width="13.90625" customWidth="1"/>
    <col min="13" max="13" width="15.36328125" customWidth="1"/>
    <col min="14" max="14" width="15" style="15" customWidth="1"/>
    <col min="15" max="15" width="13.6328125" customWidth="1"/>
    <col min="16" max="16" width="19.54296875" style="12" customWidth="1"/>
  </cols>
  <sheetData>
    <row r="1" spans="1:16" s="25" customFormat="1" x14ac:dyDescent="0.35">
      <c r="A1" s="45" t="s">
        <v>0</v>
      </c>
      <c r="B1" s="41" t="s">
        <v>0</v>
      </c>
      <c r="C1" s="30" t="s">
        <v>142</v>
      </c>
      <c r="D1" s="30" t="s">
        <v>141</v>
      </c>
      <c r="E1" s="30" t="s">
        <v>1</v>
      </c>
      <c r="F1" s="20" t="s">
        <v>2</v>
      </c>
      <c r="G1" s="33" t="s">
        <v>116</v>
      </c>
      <c r="H1" s="50" t="s">
        <v>3</v>
      </c>
      <c r="I1" s="36" t="s">
        <v>148</v>
      </c>
      <c r="J1" s="30" t="s">
        <v>4</v>
      </c>
      <c r="K1" s="55" t="s">
        <v>5</v>
      </c>
      <c r="L1" s="34" t="s">
        <v>98</v>
      </c>
      <c r="M1" s="35" t="s">
        <v>99</v>
      </c>
      <c r="N1" s="20" t="s">
        <v>100</v>
      </c>
      <c r="O1" s="20" t="s">
        <v>1</v>
      </c>
      <c r="P1" s="20" t="s">
        <v>5</v>
      </c>
    </row>
    <row r="2" spans="1:16" x14ac:dyDescent="0.35">
      <c r="A2" s="46">
        <v>46050</v>
      </c>
      <c r="B2" s="42">
        <v>28</v>
      </c>
      <c r="C2" s="31" t="s">
        <v>117</v>
      </c>
      <c r="D2" s="31" t="s">
        <v>118</v>
      </c>
      <c r="E2" s="16" t="s">
        <v>7</v>
      </c>
      <c r="F2" s="9" t="s">
        <v>8</v>
      </c>
      <c r="G2" s="10" t="str">
        <f>CONCATENATE(E2," ", F2)</f>
        <v>Laptop Dell</v>
      </c>
      <c r="H2" s="10">
        <v>1000</v>
      </c>
      <c r="I2" s="37">
        <v>1000</v>
      </c>
      <c r="J2" s="16">
        <v>30</v>
      </c>
      <c r="K2" s="51" t="s">
        <v>9</v>
      </c>
      <c r="L2" s="18" t="b">
        <f>ISBLANK(I2)</f>
        <v>0</v>
      </c>
      <c r="M2" s="12" t="str">
        <f>IF(ISBLANK(F2),"UNKNOWN",F2)</f>
        <v>Dell</v>
      </c>
      <c r="N2" s="13">
        <f>IF(ISBLANK(J2),AVERAGE($J$2:$J$35),J2)</f>
        <v>30</v>
      </c>
      <c r="O2" s="10" t="s">
        <v>7</v>
      </c>
      <c r="P2" s="26" t="s">
        <v>9</v>
      </c>
    </row>
    <row r="3" spans="1:16" x14ac:dyDescent="0.35">
      <c r="A3" s="47">
        <v>46068</v>
      </c>
      <c r="B3" s="43">
        <v>15</v>
      </c>
      <c r="C3" s="32" t="s">
        <v>119</v>
      </c>
      <c r="D3" s="32" t="s">
        <v>118</v>
      </c>
      <c r="E3" s="17" t="s">
        <v>11</v>
      </c>
      <c r="F3" s="21" t="s">
        <v>12</v>
      </c>
      <c r="G3" s="10" t="str">
        <f t="shared" ref="G3:G23" si="0">CONCATENATE(E3," ", F3)</f>
        <v>Sneakers Nike</v>
      </c>
      <c r="H3" s="11">
        <v>80</v>
      </c>
      <c r="I3" s="38">
        <v>80</v>
      </c>
      <c r="J3" s="17">
        <v>15</v>
      </c>
      <c r="K3" s="52" t="s">
        <v>13</v>
      </c>
      <c r="L3" s="18" t="b">
        <f t="shared" ref="L3:L35" si="1">ISBLANK(I3)</f>
        <v>0</v>
      </c>
      <c r="M3" s="12" t="str">
        <f t="shared" ref="M3:M35" si="2">IF(ISBLANK(F3),"UNKNOWN",F3)</f>
        <v>Nike</v>
      </c>
      <c r="N3" s="13">
        <f t="shared" ref="N3:N35" si="3">IF(ISBLANK(J3),AVERAGE($J$2:$J$35),J3)</f>
        <v>15</v>
      </c>
      <c r="O3" s="11" t="s">
        <v>11</v>
      </c>
      <c r="P3" s="21" t="s">
        <v>13</v>
      </c>
    </row>
    <row r="4" spans="1:16" x14ac:dyDescent="0.35">
      <c r="A4" s="46">
        <v>46084</v>
      </c>
      <c r="B4" s="42">
        <v>3</v>
      </c>
      <c r="C4" s="31" t="s">
        <v>120</v>
      </c>
      <c r="D4" s="31" t="s">
        <v>118</v>
      </c>
      <c r="E4" s="16" t="s">
        <v>15</v>
      </c>
      <c r="F4" s="9" t="s">
        <v>16</v>
      </c>
      <c r="G4" s="10" t="str">
        <f t="shared" si="0"/>
        <v>Coffee Maker Keurig</v>
      </c>
      <c r="H4" s="10">
        <v>130</v>
      </c>
      <c r="I4" s="37"/>
      <c r="J4" s="16"/>
      <c r="K4" s="51" t="s">
        <v>17</v>
      </c>
      <c r="L4" s="19" t="b">
        <f t="shared" si="1"/>
        <v>1</v>
      </c>
      <c r="M4" s="12" t="str">
        <f t="shared" si="2"/>
        <v>Keurig</v>
      </c>
      <c r="N4" s="14">
        <f t="shared" si="3"/>
        <v>25.208333333333332</v>
      </c>
      <c r="O4" s="10" t="s">
        <v>15</v>
      </c>
      <c r="P4" s="9" t="s">
        <v>17</v>
      </c>
    </row>
    <row r="5" spans="1:16" x14ac:dyDescent="0.35">
      <c r="A5" s="47">
        <v>46123</v>
      </c>
      <c r="B5" s="43">
        <v>11</v>
      </c>
      <c r="C5" s="32" t="s">
        <v>121</v>
      </c>
      <c r="D5" s="32" t="s">
        <v>118</v>
      </c>
      <c r="E5" s="17" t="s">
        <v>106</v>
      </c>
      <c r="F5" s="21" t="s">
        <v>20</v>
      </c>
      <c r="G5" s="10" t="str">
        <f t="shared" si="0"/>
        <v>Smart Phone Samsung</v>
      </c>
      <c r="H5" s="11">
        <v>900</v>
      </c>
      <c r="I5" s="38"/>
      <c r="J5" s="17">
        <v>25</v>
      </c>
      <c r="K5" s="52" t="s">
        <v>9</v>
      </c>
      <c r="L5" s="19" t="b">
        <f t="shared" si="1"/>
        <v>1</v>
      </c>
      <c r="M5" s="12" t="str">
        <f t="shared" si="2"/>
        <v>Samsung</v>
      </c>
      <c r="N5" s="13">
        <f t="shared" si="3"/>
        <v>25</v>
      </c>
      <c r="O5" s="11" t="s">
        <v>106</v>
      </c>
      <c r="P5" s="27" t="s">
        <v>9</v>
      </c>
    </row>
    <row r="6" spans="1:16" x14ac:dyDescent="0.35">
      <c r="A6" s="46">
        <v>46164</v>
      </c>
      <c r="B6" s="42">
        <v>22</v>
      </c>
      <c r="C6" s="31" t="s">
        <v>122</v>
      </c>
      <c r="D6" s="31" t="s">
        <v>118</v>
      </c>
      <c r="E6" s="16" t="s">
        <v>107</v>
      </c>
      <c r="F6" s="9" t="s">
        <v>23</v>
      </c>
      <c r="G6" s="10" t="str">
        <f t="shared" si="0"/>
        <v>Back Pack North Face</v>
      </c>
      <c r="H6" s="10">
        <v>70</v>
      </c>
      <c r="I6" s="37">
        <v>70</v>
      </c>
      <c r="J6" s="16">
        <v>20</v>
      </c>
      <c r="K6" s="51" t="s">
        <v>24</v>
      </c>
      <c r="L6" s="18" t="b">
        <f t="shared" si="1"/>
        <v>0</v>
      </c>
      <c r="M6" s="12" t="str">
        <f t="shared" si="2"/>
        <v>North Face</v>
      </c>
      <c r="N6" s="13">
        <f t="shared" si="3"/>
        <v>20</v>
      </c>
      <c r="O6" s="10" t="s">
        <v>107</v>
      </c>
      <c r="P6" s="9" t="s">
        <v>24</v>
      </c>
    </row>
    <row r="7" spans="1:16" x14ac:dyDescent="0.35">
      <c r="A7" s="46">
        <v>46165</v>
      </c>
      <c r="B7" s="43">
        <v>7</v>
      </c>
      <c r="C7" s="32" t="s">
        <v>123</v>
      </c>
      <c r="D7" s="32" t="s">
        <v>124</v>
      </c>
      <c r="E7" s="17" t="s">
        <v>108</v>
      </c>
      <c r="F7" s="21" t="s">
        <v>27</v>
      </c>
      <c r="G7" s="10" t="str">
        <f t="shared" si="0"/>
        <v>Head Phones Sony</v>
      </c>
      <c r="H7" s="11">
        <v>200</v>
      </c>
      <c r="I7" s="38">
        <v>200</v>
      </c>
      <c r="J7" s="17">
        <v>45</v>
      </c>
      <c r="K7" s="52" t="s">
        <v>9</v>
      </c>
      <c r="L7" s="18" t="b">
        <f t="shared" si="1"/>
        <v>0</v>
      </c>
      <c r="M7" s="12" t="str">
        <f t="shared" si="2"/>
        <v>Sony</v>
      </c>
      <c r="N7" s="13">
        <f t="shared" si="3"/>
        <v>45</v>
      </c>
      <c r="O7" s="11" t="s">
        <v>108</v>
      </c>
      <c r="P7" s="27" t="s">
        <v>9</v>
      </c>
    </row>
    <row r="8" spans="1:16" x14ac:dyDescent="0.35">
      <c r="A8" s="46">
        <v>46166</v>
      </c>
      <c r="B8" s="42">
        <v>19</v>
      </c>
      <c r="C8" s="31" t="s">
        <v>125</v>
      </c>
      <c r="D8" s="31" t="s">
        <v>124</v>
      </c>
      <c r="E8" s="16" t="s">
        <v>114</v>
      </c>
      <c r="F8" s="9" t="s">
        <v>30</v>
      </c>
      <c r="G8" s="10" t="str">
        <f t="shared" si="0"/>
        <v>T-Shirt Adidas</v>
      </c>
      <c r="H8" s="10">
        <v>30</v>
      </c>
      <c r="I8" s="37">
        <v>30</v>
      </c>
      <c r="J8" s="16">
        <v>5</v>
      </c>
      <c r="K8" s="51" t="s">
        <v>13</v>
      </c>
      <c r="L8" s="18" t="b">
        <f t="shared" si="1"/>
        <v>0</v>
      </c>
      <c r="M8" s="12" t="str">
        <f t="shared" si="2"/>
        <v>Adidas</v>
      </c>
      <c r="N8" s="13">
        <f t="shared" si="3"/>
        <v>5</v>
      </c>
      <c r="O8" s="10" t="s">
        <v>114</v>
      </c>
      <c r="P8" s="9" t="s">
        <v>13</v>
      </c>
    </row>
    <row r="9" spans="1:16" x14ac:dyDescent="0.35">
      <c r="A9" s="46">
        <v>46167</v>
      </c>
      <c r="B9" s="43">
        <v>23</v>
      </c>
      <c r="C9" s="32" t="s">
        <v>126</v>
      </c>
      <c r="D9" s="32" t="s">
        <v>124</v>
      </c>
      <c r="E9" s="17" t="s">
        <v>32</v>
      </c>
      <c r="F9" s="21" t="s">
        <v>33</v>
      </c>
      <c r="G9" s="10" t="str">
        <f t="shared" si="0"/>
        <v>Blender Ninja</v>
      </c>
      <c r="H9" s="11">
        <v>90</v>
      </c>
      <c r="I9" s="38">
        <v>90</v>
      </c>
      <c r="J9" s="17">
        <v>35</v>
      </c>
      <c r="K9" s="52" t="s">
        <v>17</v>
      </c>
      <c r="L9" s="18" t="b">
        <f t="shared" si="1"/>
        <v>0</v>
      </c>
      <c r="M9" s="12" t="str">
        <f t="shared" si="2"/>
        <v>Ninja</v>
      </c>
      <c r="N9" s="13">
        <f t="shared" si="3"/>
        <v>35</v>
      </c>
      <c r="O9" s="11" t="s">
        <v>32</v>
      </c>
      <c r="P9" s="21" t="s">
        <v>17</v>
      </c>
    </row>
    <row r="10" spans="1:16" x14ac:dyDescent="0.35">
      <c r="A10" s="46">
        <v>46168</v>
      </c>
      <c r="B10" s="42">
        <v>5</v>
      </c>
      <c r="C10" s="31" t="s">
        <v>127</v>
      </c>
      <c r="D10" s="31" t="s">
        <v>124</v>
      </c>
      <c r="E10" s="16" t="s">
        <v>35</v>
      </c>
      <c r="F10" s="9" t="s">
        <v>36</v>
      </c>
      <c r="G10" s="10" t="str">
        <f t="shared" si="0"/>
        <v>Tablet Apple</v>
      </c>
      <c r="H10" s="10">
        <v>500</v>
      </c>
      <c r="I10" s="37">
        <v>500</v>
      </c>
      <c r="J10" s="16">
        <v>50</v>
      </c>
      <c r="K10" s="51" t="s">
        <v>9</v>
      </c>
      <c r="L10" s="18" t="b">
        <f t="shared" si="1"/>
        <v>0</v>
      </c>
      <c r="M10" s="12" t="str">
        <f t="shared" si="2"/>
        <v>Apple</v>
      </c>
      <c r="N10" s="13">
        <f t="shared" si="3"/>
        <v>50</v>
      </c>
      <c r="O10" s="10" t="s">
        <v>35</v>
      </c>
      <c r="P10" s="27" t="s">
        <v>9</v>
      </c>
    </row>
    <row r="11" spans="1:16" x14ac:dyDescent="0.35">
      <c r="A11" s="46">
        <v>46169</v>
      </c>
      <c r="B11" s="43">
        <v>14</v>
      </c>
      <c r="C11" s="32" t="s">
        <v>128</v>
      </c>
      <c r="D11" s="32" t="s">
        <v>124</v>
      </c>
      <c r="E11" s="17" t="s">
        <v>38</v>
      </c>
      <c r="F11" s="21" t="s">
        <v>39</v>
      </c>
      <c r="G11" s="10" t="str">
        <f t="shared" si="0"/>
        <v>Hiking Boots Timberland</v>
      </c>
      <c r="H11" s="11">
        <v>130</v>
      </c>
      <c r="I11" s="38">
        <v>130</v>
      </c>
      <c r="J11" s="17">
        <v>10</v>
      </c>
      <c r="K11" s="52" t="s">
        <v>24</v>
      </c>
      <c r="L11" s="18" t="b">
        <f t="shared" si="1"/>
        <v>0</v>
      </c>
      <c r="M11" s="12" t="str">
        <f t="shared" si="2"/>
        <v>Timberland</v>
      </c>
      <c r="N11" s="13">
        <f t="shared" si="3"/>
        <v>10</v>
      </c>
      <c r="O11" s="11" t="s">
        <v>38</v>
      </c>
      <c r="P11" s="27" t="s">
        <v>9</v>
      </c>
    </row>
    <row r="12" spans="1:16" x14ac:dyDescent="0.35">
      <c r="A12" s="46">
        <v>46170</v>
      </c>
      <c r="B12" s="42">
        <v>17</v>
      </c>
      <c r="C12" s="31" t="s">
        <v>123</v>
      </c>
      <c r="D12" s="31" t="s">
        <v>129</v>
      </c>
      <c r="E12" s="16" t="s">
        <v>7</v>
      </c>
      <c r="F12" s="9" t="s">
        <v>41</v>
      </c>
      <c r="G12" s="10" t="str">
        <f t="shared" si="0"/>
        <v>Laptop HP</v>
      </c>
      <c r="H12" s="10">
        <v>950</v>
      </c>
      <c r="I12" s="37">
        <v>950</v>
      </c>
      <c r="J12" s="16"/>
      <c r="K12" s="51" t="s">
        <v>9</v>
      </c>
      <c r="L12" s="18" t="b">
        <f t="shared" si="1"/>
        <v>0</v>
      </c>
      <c r="M12" s="12" t="str">
        <f t="shared" si="2"/>
        <v>HP</v>
      </c>
      <c r="N12" s="14">
        <f t="shared" si="3"/>
        <v>25.208333333333332</v>
      </c>
      <c r="O12" s="10" t="s">
        <v>7</v>
      </c>
      <c r="P12" s="27" t="s">
        <v>9</v>
      </c>
    </row>
    <row r="13" spans="1:16" x14ac:dyDescent="0.35">
      <c r="A13" s="46">
        <v>46171</v>
      </c>
      <c r="B13" s="43">
        <v>25</v>
      </c>
      <c r="C13" s="32" t="s">
        <v>130</v>
      </c>
      <c r="D13" s="32" t="s">
        <v>131</v>
      </c>
      <c r="E13" s="17" t="s">
        <v>11</v>
      </c>
      <c r="F13" s="21" t="s">
        <v>30</v>
      </c>
      <c r="G13" s="10" t="str">
        <f t="shared" si="0"/>
        <v>Sneakers Adidas</v>
      </c>
      <c r="H13" s="11">
        <v>90</v>
      </c>
      <c r="I13" s="38">
        <v>90</v>
      </c>
      <c r="J13" s="17"/>
      <c r="K13" s="52" t="s">
        <v>13</v>
      </c>
      <c r="L13" s="18" t="b">
        <f t="shared" si="1"/>
        <v>0</v>
      </c>
      <c r="M13" s="12" t="str">
        <f t="shared" si="2"/>
        <v>Adidas</v>
      </c>
      <c r="N13" s="14">
        <f t="shared" si="3"/>
        <v>25.208333333333332</v>
      </c>
      <c r="O13" s="11" t="s">
        <v>11</v>
      </c>
      <c r="P13" s="21" t="s">
        <v>13</v>
      </c>
    </row>
    <row r="14" spans="1:16" x14ac:dyDescent="0.35">
      <c r="A14" s="46">
        <v>46172</v>
      </c>
      <c r="B14" s="42">
        <v>8</v>
      </c>
      <c r="C14" s="31" t="s">
        <v>132</v>
      </c>
      <c r="D14" s="31" t="s">
        <v>133</v>
      </c>
      <c r="E14" s="16" t="s">
        <v>15</v>
      </c>
      <c r="F14" s="9" t="s">
        <v>44</v>
      </c>
      <c r="G14" s="10" t="str">
        <f t="shared" si="0"/>
        <v>Coffee Maker Nespresso</v>
      </c>
      <c r="H14" s="10">
        <v>120</v>
      </c>
      <c r="I14" s="37">
        <v>120</v>
      </c>
      <c r="J14" s="16">
        <v>35</v>
      </c>
      <c r="K14" s="51" t="s">
        <v>17</v>
      </c>
      <c r="L14" s="18" t="b">
        <f t="shared" si="1"/>
        <v>0</v>
      </c>
      <c r="M14" s="12" t="str">
        <f t="shared" si="2"/>
        <v>Nespresso</v>
      </c>
      <c r="N14" s="13">
        <f t="shared" si="3"/>
        <v>35</v>
      </c>
      <c r="O14" s="10" t="s">
        <v>15</v>
      </c>
      <c r="P14" s="9" t="s">
        <v>17</v>
      </c>
    </row>
    <row r="15" spans="1:16" x14ac:dyDescent="0.35">
      <c r="A15" s="46">
        <v>46173</v>
      </c>
      <c r="B15" s="43">
        <v>18</v>
      </c>
      <c r="C15" s="32" t="s">
        <v>119</v>
      </c>
      <c r="D15" s="32" t="s">
        <v>134</v>
      </c>
      <c r="E15" s="17" t="s">
        <v>110</v>
      </c>
      <c r="F15" s="21" t="s">
        <v>47</v>
      </c>
      <c r="G15" s="10" t="str">
        <f t="shared" si="0"/>
        <v>Smart Watch Fitbit</v>
      </c>
      <c r="H15" s="11">
        <v>150</v>
      </c>
      <c r="I15" s="38">
        <v>150</v>
      </c>
      <c r="J15" s="17">
        <v>15</v>
      </c>
      <c r="K15" s="52" t="s">
        <v>9</v>
      </c>
      <c r="L15" s="18" t="b">
        <f t="shared" si="1"/>
        <v>0</v>
      </c>
      <c r="M15" s="12" t="str">
        <f t="shared" si="2"/>
        <v>Fitbit</v>
      </c>
      <c r="N15" s="13">
        <f t="shared" si="3"/>
        <v>15</v>
      </c>
      <c r="O15" s="11" t="s">
        <v>110</v>
      </c>
      <c r="P15" s="27" t="s">
        <v>9</v>
      </c>
    </row>
    <row r="16" spans="1:16" x14ac:dyDescent="0.35">
      <c r="A16" s="46">
        <v>46174</v>
      </c>
      <c r="B16" s="42">
        <v>16</v>
      </c>
      <c r="C16" s="31" t="s">
        <v>121</v>
      </c>
      <c r="D16" s="31" t="s">
        <v>135</v>
      </c>
      <c r="E16" s="16" t="s">
        <v>108</v>
      </c>
      <c r="F16" s="9" t="s">
        <v>49</v>
      </c>
      <c r="G16" s="10" t="str">
        <f t="shared" si="0"/>
        <v>Head Phones Bose</v>
      </c>
      <c r="H16" s="10">
        <v>250</v>
      </c>
      <c r="I16" s="37">
        <v>250</v>
      </c>
      <c r="J16" s="16">
        <v>20</v>
      </c>
      <c r="K16" s="51" t="s">
        <v>9</v>
      </c>
      <c r="L16" s="18" t="b">
        <f t="shared" si="1"/>
        <v>0</v>
      </c>
      <c r="M16" s="12" t="str">
        <f t="shared" si="2"/>
        <v>Bose</v>
      </c>
      <c r="N16" s="13">
        <f t="shared" si="3"/>
        <v>20</v>
      </c>
      <c r="O16" s="10" t="s">
        <v>108</v>
      </c>
      <c r="P16" s="27" t="s">
        <v>9</v>
      </c>
    </row>
    <row r="17" spans="1:16" x14ac:dyDescent="0.35">
      <c r="A17" s="46">
        <v>46175</v>
      </c>
      <c r="B17" s="43">
        <v>21</v>
      </c>
      <c r="C17" s="32" t="s">
        <v>126</v>
      </c>
      <c r="D17" s="32" t="s">
        <v>134</v>
      </c>
      <c r="E17" s="17" t="s">
        <v>51</v>
      </c>
      <c r="F17" s="21" t="s">
        <v>52</v>
      </c>
      <c r="G17" s="10" t="str">
        <f t="shared" si="0"/>
        <v>Laptop Bag Samsonite</v>
      </c>
      <c r="H17" s="11">
        <v>50</v>
      </c>
      <c r="I17" s="38">
        <v>50</v>
      </c>
      <c r="J17" s="17"/>
      <c r="K17" s="52" t="s">
        <v>53</v>
      </c>
      <c r="L17" s="18" t="b">
        <f t="shared" si="1"/>
        <v>0</v>
      </c>
      <c r="M17" s="12" t="str">
        <f t="shared" si="2"/>
        <v>Samsonite</v>
      </c>
      <c r="N17" s="14">
        <f t="shared" si="3"/>
        <v>25.208333333333332</v>
      </c>
      <c r="O17" s="11" t="s">
        <v>51</v>
      </c>
      <c r="P17" s="28" t="s">
        <v>53</v>
      </c>
    </row>
    <row r="18" spans="1:16" x14ac:dyDescent="0.35">
      <c r="A18" s="46">
        <v>46176</v>
      </c>
      <c r="B18" s="42">
        <v>20</v>
      </c>
      <c r="C18" s="31" t="s">
        <v>126</v>
      </c>
      <c r="D18" s="31" t="s">
        <v>136</v>
      </c>
      <c r="E18" s="16" t="s">
        <v>110</v>
      </c>
      <c r="F18" s="9" t="s">
        <v>55</v>
      </c>
      <c r="G18" s="10" t="str">
        <f t="shared" si="0"/>
        <v>Smart Watch Huawei</v>
      </c>
      <c r="H18" s="10">
        <v>160</v>
      </c>
      <c r="I18" s="37"/>
      <c r="J18" s="16">
        <v>15</v>
      </c>
      <c r="K18" s="51" t="s">
        <v>9</v>
      </c>
      <c r="L18" s="19" t="b">
        <f t="shared" si="1"/>
        <v>1</v>
      </c>
      <c r="M18" s="12" t="str">
        <f t="shared" si="2"/>
        <v>Huawei</v>
      </c>
      <c r="N18" s="13">
        <f t="shared" si="3"/>
        <v>15</v>
      </c>
      <c r="O18" s="10" t="s">
        <v>110</v>
      </c>
      <c r="P18" s="26" t="s">
        <v>9</v>
      </c>
    </row>
    <row r="19" spans="1:16" x14ac:dyDescent="0.35">
      <c r="A19" s="46">
        <v>46177</v>
      </c>
      <c r="B19" s="43">
        <v>27</v>
      </c>
      <c r="C19" s="32" t="s">
        <v>117</v>
      </c>
      <c r="D19" s="32" t="s">
        <v>137</v>
      </c>
      <c r="E19" s="17" t="s">
        <v>7</v>
      </c>
      <c r="F19" s="21" t="s">
        <v>57</v>
      </c>
      <c r="G19" s="10" t="str">
        <f t="shared" si="0"/>
        <v>Laptop Asus</v>
      </c>
      <c r="H19" s="11">
        <v>980</v>
      </c>
      <c r="I19" s="38">
        <v>980</v>
      </c>
      <c r="J19" s="17">
        <v>10</v>
      </c>
      <c r="K19" s="52" t="s">
        <v>9</v>
      </c>
      <c r="L19" s="18" t="b">
        <f>ISBLANK(I19)</f>
        <v>0</v>
      </c>
      <c r="M19" s="12" t="str">
        <f t="shared" si="2"/>
        <v>Asus</v>
      </c>
      <c r="N19" s="13">
        <f t="shared" si="3"/>
        <v>10</v>
      </c>
      <c r="O19" s="11" t="s">
        <v>7</v>
      </c>
      <c r="P19" s="27" t="s">
        <v>9</v>
      </c>
    </row>
    <row r="20" spans="1:16" x14ac:dyDescent="0.35">
      <c r="A20" s="46">
        <v>46178</v>
      </c>
      <c r="B20" s="42">
        <v>1</v>
      </c>
      <c r="C20" s="31" t="s">
        <v>120</v>
      </c>
      <c r="D20" s="31" t="s">
        <v>124</v>
      </c>
      <c r="E20" s="16" t="s">
        <v>59</v>
      </c>
      <c r="F20" s="9" t="s">
        <v>60</v>
      </c>
      <c r="G20" s="10" t="str">
        <f t="shared" si="0"/>
        <v>Sunglasses Oakley</v>
      </c>
      <c r="H20" s="10">
        <v>150</v>
      </c>
      <c r="I20" s="37">
        <v>150</v>
      </c>
      <c r="J20" s="16">
        <v>15</v>
      </c>
      <c r="K20" s="51" t="s">
        <v>13</v>
      </c>
      <c r="L20" s="18" t="b">
        <f t="shared" si="1"/>
        <v>0</v>
      </c>
      <c r="M20" s="12" t="str">
        <f t="shared" si="2"/>
        <v>Oakley</v>
      </c>
      <c r="N20" s="13">
        <f t="shared" si="3"/>
        <v>15</v>
      </c>
      <c r="O20" s="10" t="s">
        <v>109</v>
      </c>
      <c r="P20" s="9" t="s">
        <v>13</v>
      </c>
    </row>
    <row r="21" spans="1:16" x14ac:dyDescent="0.35">
      <c r="A21" s="46">
        <v>46179</v>
      </c>
      <c r="B21" s="43">
        <v>14</v>
      </c>
      <c r="C21" s="32" t="s">
        <v>126</v>
      </c>
      <c r="D21" s="32" t="s">
        <v>118</v>
      </c>
      <c r="E21" s="17" t="s">
        <v>62</v>
      </c>
      <c r="F21" s="21" t="s">
        <v>63</v>
      </c>
      <c r="G21" s="10" t="str">
        <f t="shared" si="0"/>
        <v>Camping Tent Coleman</v>
      </c>
      <c r="H21" s="11">
        <v>200</v>
      </c>
      <c r="I21" s="38">
        <v>200</v>
      </c>
      <c r="J21" s="17"/>
      <c r="K21" s="52" t="s">
        <v>24</v>
      </c>
      <c r="L21" s="18" t="b">
        <f t="shared" si="1"/>
        <v>0</v>
      </c>
      <c r="M21" s="12" t="str">
        <f t="shared" si="2"/>
        <v>Coleman</v>
      </c>
      <c r="N21" s="14">
        <f t="shared" si="3"/>
        <v>25.208333333333332</v>
      </c>
      <c r="O21" s="11" t="s">
        <v>62</v>
      </c>
      <c r="P21" s="21" t="s">
        <v>24</v>
      </c>
    </row>
    <row r="22" spans="1:16" x14ac:dyDescent="0.35">
      <c r="A22" s="46">
        <v>46180</v>
      </c>
      <c r="B22" s="42">
        <v>14</v>
      </c>
      <c r="C22" s="31" t="s">
        <v>122</v>
      </c>
      <c r="D22" s="31" t="s">
        <v>138</v>
      </c>
      <c r="E22" s="16" t="s">
        <v>65</v>
      </c>
      <c r="F22" s="9" t="s">
        <v>66</v>
      </c>
      <c r="G22" s="10" t="str">
        <f t="shared" si="0"/>
        <v>Camera Nikon</v>
      </c>
      <c r="H22" s="10">
        <v>700</v>
      </c>
      <c r="I22" s="37">
        <v>700</v>
      </c>
      <c r="J22" s="16"/>
      <c r="K22" s="51" t="s">
        <v>9</v>
      </c>
      <c r="L22" s="18" t="b">
        <f t="shared" si="1"/>
        <v>0</v>
      </c>
      <c r="M22" s="12" t="str">
        <f t="shared" si="2"/>
        <v>Nikon</v>
      </c>
      <c r="N22" s="14">
        <f t="shared" si="3"/>
        <v>25.208333333333332</v>
      </c>
      <c r="O22" s="10" t="s">
        <v>65</v>
      </c>
      <c r="P22" s="26" t="s">
        <v>9</v>
      </c>
    </row>
    <row r="23" spans="1:16" x14ac:dyDescent="0.35">
      <c r="A23" s="46">
        <v>46181</v>
      </c>
      <c r="B23" s="43">
        <v>9</v>
      </c>
      <c r="C23" s="32" t="s">
        <v>117</v>
      </c>
      <c r="D23" s="32" t="s">
        <v>134</v>
      </c>
      <c r="E23" s="17" t="s">
        <v>68</v>
      </c>
      <c r="F23" s="21" t="s">
        <v>69</v>
      </c>
      <c r="G23" s="10" t="str">
        <f t="shared" si="0"/>
        <v>Microwave Panasonic</v>
      </c>
      <c r="H23" s="11">
        <v>80</v>
      </c>
      <c r="I23" s="38">
        <v>80</v>
      </c>
      <c r="J23" s="17">
        <v>20</v>
      </c>
      <c r="K23" s="52" t="s">
        <v>17</v>
      </c>
      <c r="L23" s="18" t="b">
        <f t="shared" si="1"/>
        <v>0</v>
      </c>
      <c r="M23" s="12" t="str">
        <f t="shared" si="2"/>
        <v>Panasonic</v>
      </c>
      <c r="N23" s="13">
        <f t="shared" si="3"/>
        <v>20</v>
      </c>
      <c r="O23" s="11" t="s">
        <v>68</v>
      </c>
      <c r="P23" s="21" t="s">
        <v>17</v>
      </c>
    </row>
    <row r="24" spans="1:16" x14ac:dyDescent="0.35">
      <c r="A24" s="46">
        <v>46182</v>
      </c>
      <c r="B24" s="42">
        <v>19</v>
      </c>
      <c r="C24" s="31" t="s">
        <v>125</v>
      </c>
      <c r="D24" s="31" t="s">
        <v>139</v>
      </c>
      <c r="E24" s="16" t="s">
        <v>71</v>
      </c>
      <c r="F24" s="9" t="s">
        <v>72</v>
      </c>
      <c r="G24" s="10" t="str">
        <f>E24&amp;" "&amp;F24</f>
        <v>Fitness Tracker Xiaomi</v>
      </c>
      <c r="H24" s="10">
        <v>150</v>
      </c>
      <c r="I24" s="37"/>
      <c r="J24" s="16">
        <v>30</v>
      </c>
      <c r="K24" s="51" t="s">
        <v>9</v>
      </c>
      <c r="L24" s="19" t="b">
        <f t="shared" si="1"/>
        <v>1</v>
      </c>
      <c r="M24" s="12" t="str">
        <f t="shared" si="2"/>
        <v>Xiaomi</v>
      </c>
      <c r="N24" s="13">
        <f t="shared" si="3"/>
        <v>30</v>
      </c>
      <c r="O24" s="10" t="s">
        <v>71</v>
      </c>
      <c r="P24" s="9" t="s">
        <v>9</v>
      </c>
    </row>
    <row r="25" spans="1:16" x14ac:dyDescent="0.35">
      <c r="A25" s="46">
        <v>46183</v>
      </c>
      <c r="B25" s="42">
        <v>29</v>
      </c>
      <c r="C25" s="31" t="s">
        <v>127</v>
      </c>
      <c r="D25" s="31" t="s">
        <v>134</v>
      </c>
      <c r="E25" s="16" t="s">
        <v>106</v>
      </c>
      <c r="F25" s="21" t="s">
        <v>52</v>
      </c>
      <c r="G25" s="10" t="str">
        <f t="shared" ref="G25:G32" si="4">E25&amp;" "&amp;F25</f>
        <v>Smart Phone Samsonite</v>
      </c>
      <c r="H25" s="11">
        <v>50</v>
      </c>
      <c r="I25" s="38"/>
      <c r="J25" s="17">
        <v>35</v>
      </c>
      <c r="K25" s="52" t="s">
        <v>53</v>
      </c>
      <c r="L25" s="19" t="b">
        <f t="shared" si="1"/>
        <v>1</v>
      </c>
      <c r="M25" s="12" t="str">
        <f t="shared" si="2"/>
        <v>Samsonite</v>
      </c>
      <c r="N25" s="13">
        <f t="shared" si="3"/>
        <v>35</v>
      </c>
      <c r="O25" s="11" t="s">
        <v>51</v>
      </c>
      <c r="P25" s="28" t="s">
        <v>53</v>
      </c>
    </row>
    <row r="26" spans="1:16" x14ac:dyDescent="0.35">
      <c r="A26" s="46">
        <v>46184</v>
      </c>
      <c r="B26" s="43">
        <v>3</v>
      </c>
      <c r="C26" s="32" t="s">
        <v>123</v>
      </c>
      <c r="D26" s="32" t="s">
        <v>134</v>
      </c>
      <c r="E26" s="17" t="s">
        <v>59</v>
      </c>
      <c r="F26" s="9" t="s">
        <v>74</v>
      </c>
      <c r="G26" s="10" t="str">
        <f t="shared" si="4"/>
        <v>Sunglasses Google</v>
      </c>
      <c r="H26" s="10">
        <v>800</v>
      </c>
      <c r="I26" s="37"/>
      <c r="J26" s="16">
        <v>45</v>
      </c>
      <c r="K26" s="51" t="s">
        <v>9</v>
      </c>
      <c r="L26" s="19" t="b">
        <f>ISBLANK(I26)</f>
        <v>1</v>
      </c>
      <c r="M26" s="12" t="str">
        <f t="shared" si="2"/>
        <v>Google</v>
      </c>
      <c r="N26" s="13">
        <f t="shared" si="3"/>
        <v>45</v>
      </c>
      <c r="O26" s="10" t="s">
        <v>106</v>
      </c>
      <c r="P26" s="26" t="s">
        <v>9</v>
      </c>
    </row>
    <row r="27" spans="1:16" x14ac:dyDescent="0.35">
      <c r="A27" s="46">
        <v>46185</v>
      </c>
      <c r="B27" s="42">
        <v>11</v>
      </c>
      <c r="C27" s="31" t="s">
        <v>125</v>
      </c>
      <c r="D27" s="31" t="s">
        <v>134</v>
      </c>
      <c r="E27" s="16" t="s">
        <v>32</v>
      </c>
      <c r="F27" s="21" t="s">
        <v>76</v>
      </c>
      <c r="G27" s="10" t="str">
        <f t="shared" si="4"/>
        <v>Blender Ray-Ban</v>
      </c>
      <c r="H27" s="11">
        <v>130</v>
      </c>
      <c r="I27" s="38"/>
      <c r="J27" s="17"/>
      <c r="K27" s="52" t="s">
        <v>13</v>
      </c>
      <c r="L27" s="19" t="b">
        <f t="shared" si="1"/>
        <v>1</v>
      </c>
      <c r="M27" s="12" t="str">
        <f t="shared" si="2"/>
        <v>Ray-Ban</v>
      </c>
      <c r="N27" s="14">
        <f t="shared" si="3"/>
        <v>25.208333333333332</v>
      </c>
      <c r="O27" s="11" t="s">
        <v>109</v>
      </c>
      <c r="P27" s="21" t="s">
        <v>13</v>
      </c>
    </row>
    <row r="28" spans="1:16" x14ac:dyDescent="0.35">
      <c r="A28" s="46">
        <v>46186</v>
      </c>
      <c r="B28" s="42">
        <v>7</v>
      </c>
      <c r="C28" s="31" t="s">
        <v>120</v>
      </c>
      <c r="D28" s="31" t="s">
        <v>134</v>
      </c>
      <c r="E28" s="16" t="s">
        <v>80</v>
      </c>
      <c r="F28" s="9" t="s">
        <v>78</v>
      </c>
      <c r="G28" s="10" t="str">
        <f t="shared" si="4"/>
        <v>Dress Vitamix</v>
      </c>
      <c r="H28" s="10">
        <v>400</v>
      </c>
      <c r="I28" s="37"/>
      <c r="J28" s="16"/>
      <c r="K28" s="51" t="s">
        <v>17</v>
      </c>
      <c r="L28" s="19" t="b">
        <f t="shared" si="1"/>
        <v>1</v>
      </c>
      <c r="M28" s="12" t="str">
        <f t="shared" si="2"/>
        <v>Vitamix</v>
      </c>
      <c r="N28" s="14">
        <f t="shared" si="3"/>
        <v>25.208333333333332</v>
      </c>
      <c r="O28" s="10" t="s">
        <v>32</v>
      </c>
      <c r="P28" s="9" t="s">
        <v>17</v>
      </c>
    </row>
    <row r="29" spans="1:16" x14ac:dyDescent="0.35">
      <c r="A29" s="46">
        <v>46187</v>
      </c>
      <c r="B29" s="43">
        <v>13</v>
      </c>
      <c r="C29" s="32" t="s">
        <v>121</v>
      </c>
      <c r="D29" s="32" t="s">
        <v>134</v>
      </c>
      <c r="E29" s="17" t="s">
        <v>83</v>
      </c>
      <c r="F29" s="21" t="s">
        <v>49</v>
      </c>
      <c r="G29" s="10" t="str">
        <f t="shared" si="4"/>
        <v>Toaster Bose</v>
      </c>
      <c r="H29" s="11">
        <v>230</v>
      </c>
      <c r="I29" s="38">
        <v>230</v>
      </c>
      <c r="J29" s="17">
        <v>20</v>
      </c>
      <c r="K29" s="52" t="s">
        <v>9</v>
      </c>
      <c r="L29" s="18" t="b">
        <f t="shared" si="1"/>
        <v>0</v>
      </c>
      <c r="M29" s="12" t="str">
        <f t="shared" si="2"/>
        <v>Bose</v>
      </c>
      <c r="N29" s="13">
        <f t="shared" si="3"/>
        <v>20</v>
      </c>
      <c r="O29" s="11" t="s">
        <v>108</v>
      </c>
      <c r="P29" s="27" t="s">
        <v>9</v>
      </c>
    </row>
    <row r="30" spans="1:16" x14ac:dyDescent="0.35">
      <c r="A30" s="46">
        <v>46188</v>
      </c>
      <c r="B30" s="42">
        <v>24</v>
      </c>
      <c r="C30" s="31" t="s">
        <v>122</v>
      </c>
      <c r="D30" s="31" t="s">
        <v>134</v>
      </c>
      <c r="E30" s="16" t="s">
        <v>71</v>
      </c>
      <c r="F30" s="9" t="s">
        <v>81</v>
      </c>
      <c r="G30" s="10" t="str">
        <f t="shared" si="4"/>
        <v>Fitness Tracker Zara</v>
      </c>
      <c r="H30" s="10">
        <v>60</v>
      </c>
      <c r="I30" s="37">
        <v>60</v>
      </c>
      <c r="J30" s="16">
        <v>30</v>
      </c>
      <c r="K30" s="51" t="s">
        <v>13</v>
      </c>
      <c r="L30" s="18" t="b">
        <f t="shared" si="1"/>
        <v>0</v>
      </c>
      <c r="M30" s="12" t="str">
        <f t="shared" si="2"/>
        <v>Zara</v>
      </c>
      <c r="N30" s="13">
        <f t="shared" si="3"/>
        <v>30</v>
      </c>
      <c r="O30" s="10" t="s">
        <v>80</v>
      </c>
      <c r="P30" s="9" t="s">
        <v>13</v>
      </c>
    </row>
    <row r="31" spans="1:16" x14ac:dyDescent="0.35">
      <c r="A31" s="46">
        <v>46189</v>
      </c>
      <c r="B31" s="43">
        <v>2</v>
      </c>
      <c r="C31" s="32" t="s">
        <v>132</v>
      </c>
      <c r="D31" s="32" t="s">
        <v>134</v>
      </c>
      <c r="E31" s="17" t="s">
        <v>88</v>
      </c>
      <c r="F31" s="21" t="s">
        <v>84</v>
      </c>
      <c r="G31" s="10" t="str">
        <f t="shared" si="4"/>
        <v>Jeans Hamilton</v>
      </c>
      <c r="H31" s="11">
        <v>40</v>
      </c>
      <c r="I31" s="38">
        <v>40</v>
      </c>
      <c r="J31" s="17">
        <v>10</v>
      </c>
      <c r="K31" s="52" t="s">
        <v>17</v>
      </c>
      <c r="L31" s="18" t="b">
        <f t="shared" si="1"/>
        <v>0</v>
      </c>
      <c r="M31" s="12" t="str">
        <f t="shared" si="2"/>
        <v>Hamilton</v>
      </c>
      <c r="N31" s="13">
        <f t="shared" si="3"/>
        <v>10</v>
      </c>
      <c r="O31" s="11" t="s">
        <v>83</v>
      </c>
      <c r="P31" s="21" t="s">
        <v>17</v>
      </c>
    </row>
    <row r="32" spans="1:16" x14ac:dyDescent="0.35">
      <c r="A32" s="46">
        <v>46190</v>
      </c>
      <c r="B32" s="43">
        <v>9</v>
      </c>
      <c r="C32" s="32" t="s">
        <v>125</v>
      </c>
      <c r="D32" s="32" t="s">
        <v>140</v>
      </c>
      <c r="E32" s="17" t="s">
        <v>91</v>
      </c>
      <c r="F32" s="9" t="s">
        <v>86</v>
      </c>
      <c r="G32" s="10" t="str">
        <f t="shared" si="4"/>
        <v>Watch Garmin</v>
      </c>
      <c r="H32" s="10">
        <v>130</v>
      </c>
      <c r="I32" s="37">
        <v>130</v>
      </c>
      <c r="J32" s="16"/>
      <c r="K32" s="51" t="s">
        <v>9</v>
      </c>
      <c r="L32" s="18" t="b">
        <f t="shared" si="1"/>
        <v>0</v>
      </c>
      <c r="M32" s="12" t="str">
        <f t="shared" si="2"/>
        <v>Garmin</v>
      </c>
      <c r="N32" s="14">
        <f t="shared" si="3"/>
        <v>25.208333333333332</v>
      </c>
      <c r="O32" s="10" t="s">
        <v>71</v>
      </c>
      <c r="P32" s="26" t="s">
        <v>9</v>
      </c>
    </row>
    <row r="33" spans="1:16" x14ac:dyDescent="0.35">
      <c r="A33" s="46">
        <v>46191</v>
      </c>
      <c r="C33" s="44" t="s">
        <v>149</v>
      </c>
      <c r="D33"/>
      <c r="F33" s="21" t="s">
        <v>89</v>
      </c>
      <c r="G33" s="10"/>
      <c r="H33" s="11">
        <v>50</v>
      </c>
      <c r="I33" s="38">
        <v>50</v>
      </c>
      <c r="J33" s="17">
        <v>50</v>
      </c>
      <c r="K33" s="52" t="s">
        <v>13</v>
      </c>
      <c r="L33" s="18" t="b">
        <f t="shared" si="1"/>
        <v>0</v>
      </c>
      <c r="M33" s="12" t="str">
        <f t="shared" si="2"/>
        <v>Levi's</v>
      </c>
      <c r="N33" s="13">
        <f t="shared" si="3"/>
        <v>50</v>
      </c>
      <c r="O33" s="11" t="s">
        <v>88</v>
      </c>
      <c r="P33" s="21" t="s">
        <v>13</v>
      </c>
    </row>
    <row r="34" spans="1:16" x14ac:dyDescent="0.35">
      <c r="A34" s="46">
        <v>46192</v>
      </c>
      <c r="C34"/>
      <c r="D34"/>
      <c r="F34" s="9" t="s">
        <v>41</v>
      </c>
      <c r="G34" s="11"/>
      <c r="H34" s="10">
        <v>950</v>
      </c>
      <c r="I34" s="37"/>
      <c r="J34" s="16"/>
      <c r="K34" s="51" t="s">
        <v>9</v>
      </c>
      <c r="L34" s="19" t="b">
        <f>ISBLANK(I34)</f>
        <v>1</v>
      </c>
      <c r="M34" s="12" t="str">
        <f t="shared" si="2"/>
        <v>HP</v>
      </c>
      <c r="N34" s="14">
        <f t="shared" si="3"/>
        <v>25.208333333333332</v>
      </c>
      <c r="O34" s="10" t="s">
        <v>7</v>
      </c>
      <c r="P34" s="9" t="s">
        <v>9</v>
      </c>
    </row>
    <row r="35" spans="1:16" x14ac:dyDescent="0.35">
      <c r="A35" s="46">
        <v>46193</v>
      </c>
      <c r="C35"/>
      <c r="D35"/>
      <c r="F35" s="21" t="s">
        <v>92</v>
      </c>
      <c r="G35" s="11"/>
      <c r="H35" s="11">
        <v>100</v>
      </c>
      <c r="I35" s="38"/>
      <c r="J35" s="17">
        <v>20</v>
      </c>
      <c r="K35" s="52" t="s">
        <v>53</v>
      </c>
      <c r="L35" s="19" t="b">
        <f t="shared" si="1"/>
        <v>1</v>
      </c>
      <c r="M35" s="12" t="str">
        <f t="shared" si="2"/>
        <v>Casio</v>
      </c>
      <c r="N35" s="13">
        <f t="shared" si="3"/>
        <v>20</v>
      </c>
      <c r="O35" s="11" t="s">
        <v>91</v>
      </c>
      <c r="P35" s="28" t="s">
        <v>53</v>
      </c>
    </row>
    <row r="36" spans="1:16" x14ac:dyDescent="0.35">
      <c r="A36" s="48"/>
      <c r="B36" s="23"/>
      <c r="C36" s="23"/>
      <c r="D36" s="23"/>
      <c r="E36" s="7"/>
      <c r="F36" s="7"/>
      <c r="G36" s="7"/>
      <c r="H36" s="7"/>
      <c r="I36" s="39"/>
      <c r="J36" s="7"/>
      <c r="K36" s="53"/>
      <c r="L36" s="8"/>
      <c r="P36" s="22"/>
    </row>
    <row r="37" spans="1:16" x14ac:dyDescent="0.35">
      <c r="A37" s="48"/>
      <c r="B37" s="24" t="s">
        <v>93</v>
      </c>
      <c r="C37" s="24"/>
      <c r="D37" s="24"/>
      <c r="E37" s="7">
        <f>COUNTBLANK(E1:E35)</f>
        <v>3</v>
      </c>
      <c r="F37" s="7"/>
      <c r="G37" s="7"/>
      <c r="H37" s="7">
        <f>COUNTBLANK(H1:H35)</f>
        <v>0</v>
      </c>
      <c r="I37" s="39">
        <f>COUNTBLANK(I1:I35)</f>
        <v>10</v>
      </c>
      <c r="J37" s="7"/>
      <c r="K37" s="53"/>
      <c r="L37" s="7"/>
      <c r="P37" s="22"/>
    </row>
    <row r="38" spans="1:16" x14ac:dyDescent="0.35">
      <c r="A38" s="48"/>
      <c r="B38" s="23"/>
      <c r="C38" s="23"/>
      <c r="D38" s="23"/>
      <c r="E38" s="7"/>
      <c r="F38" s="7"/>
      <c r="G38" s="7"/>
      <c r="H38" s="7"/>
      <c r="I38" s="39"/>
      <c r="J38" s="7"/>
      <c r="K38" s="53"/>
      <c r="L38" s="7"/>
      <c r="P38" s="22"/>
    </row>
    <row r="39" spans="1:16" x14ac:dyDescent="0.35">
      <c r="A39" s="48"/>
      <c r="B39" s="23"/>
      <c r="C39" s="23"/>
      <c r="D39" s="23"/>
      <c r="E39" s="7"/>
      <c r="F39" s="7"/>
      <c r="G39" s="7"/>
      <c r="H39" s="7"/>
      <c r="I39" s="39"/>
      <c r="J39" s="7"/>
      <c r="K39" s="53"/>
      <c r="L39" s="7"/>
      <c r="P39" s="22"/>
    </row>
    <row r="40" spans="1:16" x14ac:dyDescent="0.35">
      <c r="A40" s="48"/>
      <c r="B40" s="23"/>
      <c r="C40" s="23"/>
      <c r="D40" s="23"/>
      <c r="E40" s="7"/>
      <c r="F40" s="7"/>
      <c r="G40" s="7"/>
      <c r="H40" s="7"/>
      <c r="I40" s="39"/>
      <c r="J40" s="7"/>
      <c r="K40" s="53"/>
      <c r="L40" s="7"/>
      <c r="P40" s="22"/>
    </row>
    <row r="41" spans="1:16" x14ac:dyDescent="0.35">
      <c r="A41" s="48"/>
      <c r="B41" s="23"/>
      <c r="C41" s="23"/>
      <c r="D41" s="23"/>
      <c r="E41" s="7"/>
      <c r="F41" s="7"/>
      <c r="G41" s="7"/>
      <c r="H41" s="7"/>
      <c r="I41" s="39"/>
      <c r="J41" s="7"/>
      <c r="K41" s="53"/>
      <c r="L41" s="7"/>
      <c r="P41" s="22"/>
    </row>
    <row r="42" spans="1:16" x14ac:dyDescent="0.35">
      <c r="A42" s="48"/>
      <c r="B42" s="23"/>
      <c r="C42" s="23"/>
      <c r="D42" s="23"/>
      <c r="E42" s="7"/>
      <c r="F42" s="7"/>
      <c r="G42" s="7"/>
      <c r="H42" s="7"/>
      <c r="I42" s="39"/>
      <c r="J42" s="7"/>
      <c r="K42" s="53"/>
      <c r="L42" s="7"/>
      <c r="P42" s="22"/>
    </row>
    <row r="43" spans="1:16" x14ac:dyDescent="0.35">
      <c r="A43" s="48"/>
      <c r="B43" s="23"/>
      <c r="C43" s="23"/>
      <c r="D43" s="23"/>
      <c r="E43" s="7"/>
      <c r="F43" s="7"/>
      <c r="G43" s="7"/>
      <c r="H43" s="7"/>
      <c r="I43" s="39"/>
      <c r="J43" s="7"/>
      <c r="K43" s="53"/>
      <c r="L43" s="7"/>
      <c r="P43" s="22"/>
    </row>
    <row r="44" spans="1:16" x14ac:dyDescent="0.35">
      <c r="A44" s="48"/>
      <c r="B44" s="23"/>
      <c r="C44" s="23"/>
      <c r="D44" s="23"/>
      <c r="E44" s="7"/>
      <c r="F44" s="7"/>
      <c r="G44" s="7"/>
      <c r="H44" s="7"/>
      <c r="I44" s="39"/>
      <c r="J44" s="7"/>
      <c r="K44" s="53"/>
      <c r="L44" s="7"/>
      <c r="P44" s="22"/>
    </row>
    <row r="45" spans="1:16" x14ac:dyDescent="0.35">
      <c r="A45" s="48"/>
      <c r="B45" s="23"/>
      <c r="C45" s="23"/>
      <c r="D45" s="23"/>
      <c r="E45" s="7"/>
      <c r="F45" s="7"/>
      <c r="G45" s="7"/>
      <c r="H45" s="7"/>
      <c r="I45" s="39"/>
      <c r="J45" s="7"/>
      <c r="K45" s="53"/>
      <c r="L45" s="7"/>
      <c r="P45" s="22"/>
    </row>
    <row r="46" spans="1:16" x14ac:dyDescent="0.35">
      <c r="A46" s="48"/>
      <c r="B46" s="23"/>
      <c r="C46" s="23"/>
      <c r="D46" s="23"/>
      <c r="E46" s="7"/>
      <c r="F46" s="7"/>
      <c r="G46" s="7"/>
      <c r="H46" s="7"/>
      <c r="I46" s="39"/>
      <c r="J46" s="7"/>
      <c r="K46" s="53"/>
      <c r="L46" s="7"/>
      <c r="P46" s="22"/>
    </row>
    <row r="47" spans="1:16" x14ac:dyDescent="0.35">
      <c r="A47" s="48"/>
      <c r="B47" s="23"/>
      <c r="C47" s="23"/>
      <c r="D47" s="23"/>
      <c r="E47" s="7"/>
      <c r="F47" s="7"/>
      <c r="G47" s="7"/>
      <c r="H47" s="7"/>
      <c r="I47" s="39"/>
      <c r="J47" s="7"/>
      <c r="K47" s="53"/>
      <c r="L47" s="7"/>
      <c r="P47" s="22"/>
    </row>
    <row r="48" spans="1:16" x14ac:dyDescent="0.35">
      <c r="A48" s="48"/>
      <c r="B48" s="23"/>
      <c r="C48" s="23"/>
      <c r="D48" s="23"/>
      <c r="E48" s="7"/>
      <c r="F48" s="7"/>
      <c r="G48" s="7"/>
      <c r="H48" s="7"/>
      <c r="I48" s="39"/>
      <c r="J48" s="7"/>
      <c r="K48" s="53"/>
      <c r="L48" s="7"/>
      <c r="P48" s="22"/>
    </row>
  </sheetData>
  <conditionalFormatting sqref="H1:H35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{A1DC0FA8-9A08-4B83-8773-ACF4503650FB}</x14:id>
        </ext>
      </extLst>
    </cfRule>
  </conditionalFormatting>
  <conditionalFormatting sqref="K1:K35">
    <cfRule type="colorScale" priority="11">
      <colorScale>
        <cfvo type="min"/>
        <cfvo type="max"/>
        <color rgb="FFFFEF9C"/>
        <color rgb="FF63BE7B"/>
      </colorScale>
    </cfRule>
  </conditionalFormatting>
  <conditionalFormatting sqref="K1:K1048576">
    <cfRule type="containsText" priority="10" operator="containsText" text="Electronics">
      <formula>NOT(ISERROR(SEARCH("Electronics",K1)))</formula>
    </cfRule>
    <cfRule type="expression" priority="9">
      <formula>"Electronics"</formula>
    </cfRule>
    <cfRule type="expression" dxfId="3" priority="7">
      <formula>$K2="Electronics"</formula>
    </cfRule>
    <cfRule type="expression" priority="6">
      <formula>$K2="Electronics"</formula>
    </cfRule>
    <cfRule type="containsText" dxfId="2" priority="2" operator="containsText" text="Electronics">
      <formula>NOT(ISERROR(SEARCH("Electronics",K1)))</formula>
    </cfRule>
  </conditionalFormatting>
  <conditionalFormatting sqref="K2:K35">
    <cfRule type="containsText" dxfId="1" priority="4" operator="containsText" text="Electronics">
      <formula>NOT(ISERROR(SEARCH("Electronics",K2)))</formula>
    </cfRule>
  </conditionalFormatting>
  <conditionalFormatting sqref="K2">
    <cfRule type="containsText" dxfId="0" priority="3" operator="containsText" text="Electronics">
      <formula>NOT(ISERROR(SEARCH("Electronics",K2)))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DC0FA8-9A08-4B83-8773-ACF4503650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H1:H35</xm:sqref>
        </x14:conditionalFormatting>
        <x14:conditionalFormatting xmlns:xm="http://schemas.microsoft.com/office/excel/2006/main">
          <x14:cfRule type="containsText" priority="5" operator="containsText" id="{88AF31D4-AD1E-43C3-A5A2-A99511B56C9B}">
            <xm:f>NOT(ISERROR(SEARCH($K2="Electronics",K1)))</xm:f>
            <xm:f>$K2="Electronics"</xm:f>
            <x14:dxf/>
          </x14:cfRule>
          <xm:sqref>K1:K1048576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8ABD-91B9-43D1-A2EE-8C2A64595352}">
  <dimension ref="A5:B49"/>
  <sheetViews>
    <sheetView workbookViewId="0">
      <selection activeCell="B5" sqref="B5"/>
    </sheetView>
  </sheetViews>
  <sheetFormatPr defaultRowHeight="14.5" x14ac:dyDescent="0.35"/>
  <cols>
    <col min="1" max="1" width="8.7265625" style="25"/>
    <col min="2" max="2" width="92.36328125" customWidth="1"/>
  </cols>
  <sheetData>
    <row r="5" spans="1:2" x14ac:dyDescent="0.35">
      <c r="B5" s="29" t="s">
        <v>94</v>
      </c>
    </row>
    <row r="7" spans="1:2" x14ac:dyDescent="0.35">
      <c r="A7" s="25">
        <v>1</v>
      </c>
      <c r="B7" t="s">
        <v>144</v>
      </c>
    </row>
    <row r="9" spans="1:2" x14ac:dyDescent="0.35">
      <c r="A9" s="25">
        <v>2</v>
      </c>
      <c r="B9" t="s">
        <v>95</v>
      </c>
    </row>
    <row r="11" spans="1:2" x14ac:dyDescent="0.35">
      <c r="A11" s="25">
        <v>3</v>
      </c>
      <c r="B11" t="s">
        <v>96</v>
      </c>
    </row>
    <row r="13" spans="1:2" x14ac:dyDescent="0.35">
      <c r="A13" s="25">
        <v>4</v>
      </c>
      <c r="B13" t="s">
        <v>97</v>
      </c>
    </row>
    <row r="15" spans="1:2" x14ac:dyDescent="0.35">
      <c r="A15" s="25">
        <v>5</v>
      </c>
      <c r="B15" t="s">
        <v>101</v>
      </c>
    </row>
    <row r="16" spans="1:2" x14ac:dyDescent="0.35">
      <c r="B16" t="s">
        <v>102</v>
      </c>
    </row>
    <row r="18" spans="1:2" x14ac:dyDescent="0.35">
      <c r="A18" s="25">
        <v>6</v>
      </c>
      <c r="B18" t="s">
        <v>103</v>
      </c>
    </row>
    <row r="20" spans="1:2" x14ac:dyDescent="0.35">
      <c r="A20" s="25">
        <v>7</v>
      </c>
      <c r="B20" t="s">
        <v>104</v>
      </c>
    </row>
    <row r="22" spans="1:2" x14ac:dyDescent="0.35">
      <c r="A22" s="25">
        <v>8</v>
      </c>
      <c r="B22" t="s">
        <v>105</v>
      </c>
    </row>
    <row r="24" spans="1:2" x14ac:dyDescent="0.35">
      <c r="A24" s="25">
        <v>9</v>
      </c>
      <c r="B24" t="s">
        <v>111</v>
      </c>
    </row>
    <row r="25" spans="1:2" x14ac:dyDescent="0.35">
      <c r="B25" t="s">
        <v>112</v>
      </c>
    </row>
    <row r="27" spans="1:2" x14ac:dyDescent="0.35">
      <c r="A27" s="25">
        <v>10</v>
      </c>
      <c r="B27" t="s">
        <v>113</v>
      </c>
    </row>
    <row r="29" spans="1:2" x14ac:dyDescent="0.35">
      <c r="A29" s="25">
        <v>11</v>
      </c>
      <c r="B29" t="s">
        <v>143</v>
      </c>
    </row>
    <row r="30" spans="1:2" x14ac:dyDescent="0.35">
      <c r="B30" t="s">
        <v>115</v>
      </c>
    </row>
    <row r="32" spans="1:2" x14ac:dyDescent="0.35">
      <c r="A32" s="25">
        <v>12</v>
      </c>
      <c r="B32" t="s">
        <v>145</v>
      </c>
    </row>
    <row r="33" spans="1:2" x14ac:dyDescent="0.35">
      <c r="B33" t="s">
        <v>146</v>
      </c>
    </row>
    <row r="35" spans="1:2" x14ac:dyDescent="0.35">
      <c r="A35" s="25">
        <v>13</v>
      </c>
      <c r="B35" t="s">
        <v>147</v>
      </c>
    </row>
    <row r="37" spans="1:2" x14ac:dyDescent="0.35">
      <c r="A37" s="25">
        <v>14</v>
      </c>
      <c r="B37" t="s">
        <v>150</v>
      </c>
    </row>
    <row r="38" spans="1:2" x14ac:dyDescent="0.35">
      <c r="B38" t="s">
        <v>151</v>
      </c>
    </row>
    <row r="40" spans="1:2" x14ac:dyDescent="0.35">
      <c r="A40" s="25">
        <v>15</v>
      </c>
      <c r="B40" t="s">
        <v>152</v>
      </c>
    </row>
    <row r="41" spans="1:2" x14ac:dyDescent="0.35">
      <c r="B41" t="s">
        <v>153</v>
      </c>
    </row>
    <row r="43" spans="1:2" x14ac:dyDescent="0.35">
      <c r="A43" s="25">
        <v>16</v>
      </c>
      <c r="B43" s="56" t="s">
        <v>154</v>
      </c>
    </row>
    <row r="44" spans="1:2" x14ac:dyDescent="0.35">
      <c r="B44" t="s">
        <v>155</v>
      </c>
    </row>
    <row r="45" spans="1:2" x14ac:dyDescent="0.35">
      <c r="B45" t="s">
        <v>156</v>
      </c>
    </row>
    <row r="47" spans="1:2" x14ac:dyDescent="0.35">
      <c r="A47" s="25">
        <v>17</v>
      </c>
      <c r="B47" t="s">
        <v>157</v>
      </c>
    </row>
    <row r="48" spans="1:2" x14ac:dyDescent="0.35">
      <c r="B48" t="s">
        <v>158</v>
      </c>
    </row>
    <row r="49" spans="2:2" x14ac:dyDescent="0.35">
      <c r="B49" t="s">
        <v>159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SETS</vt:lpstr>
      <vt:lpstr>ASSIGNMENT 2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</dc:creator>
  <cp:lastModifiedBy>Revathi dillibabu</cp:lastModifiedBy>
  <dcterms:created xsi:type="dcterms:W3CDTF">2015-06-05T18:17:20Z</dcterms:created>
  <dcterms:modified xsi:type="dcterms:W3CDTF">2026-06-28T13:37:48Z</dcterms:modified>
</cp:coreProperties>
</file>